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b19943d757b2aaf2/เดสก์ท็อป/"/>
    </mc:Choice>
  </mc:AlternateContent>
  <xr:revisionPtr revIDLastSave="0" documentId="8_{4BEBB675-6664-42C9-8AC9-F77F90CFA8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tegory. " sheetId="1" r:id="rId1"/>
    <sheet name="Actual " sheetId="2" r:id="rId2"/>
    <sheet name="Billing_commission " sheetId="3" r:id="rId3"/>
  </sheets>
  <definedNames>
    <definedName name="_xlnm._FilterDatabase" localSheetId="1" hidden="1">'Actual '!$A$7:$L$30</definedName>
    <definedName name="_xlnm._FilterDatabase" localSheetId="2" hidden="1">'Billing_commission '!$B$7:$H$14</definedName>
    <definedName name="_xlnm.Print_Area" localSheetId="1">'Actual '!$A$1:$Y$51</definedName>
    <definedName name="_xlnm.Print_Area" localSheetId="2">'Billing_commission '!$B$6:$H$14</definedName>
    <definedName name="_xlnm.Print_Area" localSheetId="0">'Category. '!$A$1:$H$4</definedName>
    <definedName name="_xlnm.Print_Titles" localSheetId="1">'Actual '!$1:$7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F15" i="3"/>
  <c r="E15" i="3"/>
  <c r="D15" i="3"/>
  <c r="H9" i="3"/>
  <c r="H10" i="3"/>
  <c r="H11" i="3"/>
  <c r="H12" i="3"/>
  <c r="H13" i="3"/>
  <c r="H14" i="3"/>
  <c r="H8" i="3"/>
  <c r="H15" i="3" l="1"/>
  <c r="C69" i="2" l="1"/>
  <c r="C68" i="2"/>
  <c r="C67" i="2"/>
  <c r="C66" i="2"/>
  <c r="C65" i="2"/>
  <c r="C63" i="2"/>
  <c r="U50" i="2"/>
  <c r="T50" i="2"/>
  <c r="R50" i="2"/>
  <c r="Q50" i="2"/>
  <c r="H50" i="2"/>
  <c r="G50" i="2"/>
  <c r="E50" i="2"/>
  <c r="D50" i="2"/>
  <c r="V49" i="2"/>
  <c r="I49" i="2"/>
  <c r="V48" i="2"/>
  <c r="I48" i="2"/>
  <c r="V47" i="2"/>
  <c r="I47" i="2"/>
  <c r="V46" i="2"/>
  <c r="I46" i="2"/>
  <c r="Y45" i="2"/>
  <c r="W16" i="2" s="1"/>
  <c r="V45" i="2"/>
  <c r="I45" i="2"/>
  <c r="U44" i="2"/>
  <c r="T44" i="2"/>
  <c r="R44" i="2"/>
  <c r="Q44" i="2"/>
  <c r="H44" i="2"/>
  <c r="G44" i="2"/>
  <c r="E44" i="2"/>
  <c r="D44" i="2"/>
  <c r="V43" i="2"/>
  <c r="I43" i="2"/>
  <c r="V42" i="2"/>
  <c r="I42" i="2"/>
  <c r="V41" i="2"/>
  <c r="I41" i="2"/>
  <c r="V40" i="2"/>
  <c r="I40" i="2"/>
  <c r="V39" i="2"/>
  <c r="I39" i="2"/>
  <c r="U38" i="2"/>
  <c r="T38" i="2"/>
  <c r="R38" i="2"/>
  <c r="Q38" i="2"/>
  <c r="H38" i="2"/>
  <c r="G38" i="2"/>
  <c r="E38" i="2"/>
  <c r="D38" i="2"/>
  <c r="V37" i="2"/>
  <c r="I37" i="2"/>
  <c r="V36" i="2"/>
  <c r="I36" i="2"/>
  <c r="V35" i="2"/>
  <c r="I35" i="2"/>
  <c r="V34" i="2"/>
  <c r="I34" i="2"/>
  <c r="V33" i="2"/>
  <c r="I33" i="2"/>
  <c r="Q25" i="2"/>
  <c r="D25" i="2"/>
  <c r="V24" i="2"/>
  <c r="U24" i="2"/>
  <c r="R24" i="2"/>
  <c r="T24" i="2" s="1"/>
  <c r="J24" i="2"/>
  <c r="I24" i="2"/>
  <c r="H24" i="2"/>
  <c r="E24" i="2"/>
  <c r="G24" i="2" s="1"/>
  <c r="W23" i="2"/>
  <c r="V23" i="2"/>
  <c r="U23" i="2"/>
  <c r="R23" i="2"/>
  <c r="T23" i="2" s="1"/>
  <c r="J23" i="2"/>
  <c r="I23" i="2"/>
  <c r="H23" i="2"/>
  <c r="E23" i="2"/>
  <c r="G23" i="2" s="1"/>
  <c r="V22" i="2"/>
  <c r="U22" i="2"/>
  <c r="R22" i="2"/>
  <c r="T22" i="2" s="1"/>
  <c r="J22" i="2"/>
  <c r="I22" i="2"/>
  <c r="H22" i="2"/>
  <c r="E22" i="2"/>
  <c r="G22" i="2" s="1"/>
  <c r="V21" i="2"/>
  <c r="U21" i="2"/>
  <c r="R21" i="2"/>
  <c r="T21" i="2" s="1"/>
  <c r="J21" i="2"/>
  <c r="I21" i="2"/>
  <c r="H21" i="2"/>
  <c r="E21" i="2"/>
  <c r="G21" i="2" s="1"/>
  <c r="V20" i="2"/>
  <c r="U20" i="2"/>
  <c r="R20" i="2"/>
  <c r="J20" i="2"/>
  <c r="I20" i="2"/>
  <c r="H20" i="2"/>
  <c r="E20" i="2"/>
  <c r="G20" i="2" s="1"/>
  <c r="Q19" i="2"/>
  <c r="D19" i="2"/>
  <c r="V18" i="2"/>
  <c r="U18" i="2"/>
  <c r="R18" i="2"/>
  <c r="T18" i="2" s="1"/>
  <c r="J18" i="2"/>
  <c r="I18" i="2"/>
  <c r="H18" i="2"/>
  <c r="E18" i="2"/>
  <c r="G18" i="2" s="1"/>
  <c r="W17" i="2"/>
  <c r="V17" i="2"/>
  <c r="U17" i="2"/>
  <c r="R17" i="2"/>
  <c r="T17" i="2" s="1"/>
  <c r="J17" i="2"/>
  <c r="I17" i="2"/>
  <c r="H17" i="2"/>
  <c r="E17" i="2"/>
  <c r="V16" i="2"/>
  <c r="U16" i="2"/>
  <c r="R16" i="2"/>
  <c r="T16" i="2" s="1"/>
  <c r="J16" i="2"/>
  <c r="I16" i="2"/>
  <c r="H16" i="2"/>
  <c r="E16" i="2"/>
  <c r="G16" i="2" s="1"/>
  <c r="V15" i="2"/>
  <c r="U15" i="2"/>
  <c r="R15" i="2"/>
  <c r="T15" i="2" s="1"/>
  <c r="J15" i="2"/>
  <c r="I15" i="2"/>
  <c r="H15" i="2"/>
  <c r="E15" i="2"/>
  <c r="G15" i="2" s="1"/>
  <c r="V14" i="2"/>
  <c r="U14" i="2"/>
  <c r="R14" i="2"/>
  <c r="T14" i="2" s="1"/>
  <c r="J14" i="2"/>
  <c r="I14" i="2"/>
  <c r="H14" i="2"/>
  <c r="E14" i="2"/>
  <c r="G14" i="2" s="1"/>
  <c r="Q13" i="2"/>
  <c r="D13" i="2"/>
  <c r="V12" i="2"/>
  <c r="U12" i="2"/>
  <c r="T12" i="2"/>
  <c r="J12" i="2"/>
  <c r="I12" i="2"/>
  <c r="H12" i="2"/>
  <c r="G12" i="2"/>
  <c r="V11" i="2"/>
  <c r="U11" i="2"/>
  <c r="R11" i="2"/>
  <c r="T11" i="2" s="1"/>
  <c r="J11" i="2"/>
  <c r="I11" i="2"/>
  <c r="H11" i="2"/>
  <c r="E11" i="2"/>
  <c r="G11" i="2" s="1"/>
  <c r="V10" i="2"/>
  <c r="U10" i="2"/>
  <c r="R10" i="2"/>
  <c r="T10" i="2" s="1"/>
  <c r="J10" i="2"/>
  <c r="I10" i="2"/>
  <c r="H10" i="2"/>
  <c r="E10" i="2"/>
  <c r="G10" i="2" s="1"/>
  <c r="V9" i="2"/>
  <c r="U9" i="2"/>
  <c r="R9" i="2"/>
  <c r="T9" i="2" s="1"/>
  <c r="J9" i="2"/>
  <c r="I9" i="2"/>
  <c r="H9" i="2"/>
  <c r="E9" i="2"/>
  <c r="G9" i="2" s="1"/>
  <c r="V8" i="2"/>
  <c r="U8" i="2"/>
  <c r="R8" i="2"/>
  <c r="T8" i="2" s="1"/>
  <c r="J8" i="2"/>
  <c r="I8" i="2"/>
  <c r="H8" i="2"/>
  <c r="E8" i="2"/>
  <c r="Q30" i="2" l="1"/>
  <c r="Y23" i="2"/>
  <c r="G25" i="2"/>
  <c r="D30" i="2"/>
  <c r="L15" i="2"/>
  <c r="L22" i="2"/>
  <c r="W9" i="2"/>
  <c r="Y9" i="2" s="1"/>
  <c r="L24" i="2"/>
  <c r="I25" i="2"/>
  <c r="W11" i="2"/>
  <c r="Y11" i="2" s="1"/>
  <c r="V50" i="2"/>
  <c r="W15" i="2"/>
  <c r="Y15" i="2" s="1"/>
  <c r="I38" i="2"/>
  <c r="J25" i="2"/>
  <c r="W24" i="2"/>
  <c r="Y24" i="2" s="1"/>
  <c r="V44" i="2"/>
  <c r="I44" i="2"/>
  <c r="L16" i="2"/>
  <c r="W18" i="2"/>
  <c r="Y18" i="2" s="1"/>
  <c r="W22" i="2"/>
  <c r="Y22" i="2" s="1"/>
  <c r="V38" i="2"/>
  <c r="D51" i="2"/>
  <c r="G51" i="2"/>
  <c r="H19" i="2"/>
  <c r="U25" i="2"/>
  <c r="H51" i="2"/>
  <c r="V25" i="2"/>
  <c r="J19" i="2"/>
  <c r="I50" i="2"/>
  <c r="L12" i="2"/>
  <c r="L23" i="2"/>
  <c r="J13" i="2"/>
  <c r="L10" i="2"/>
  <c r="L18" i="2"/>
  <c r="L9" i="2"/>
  <c r="I19" i="2"/>
  <c r="E51" i="2"/>
  <c r="Q51" i="2"/>
  <c r="R51" i="2"/>
  <c r="T51" i="2"/>
  <c r="U51" i="2"/>
  <c r="U13" i="2"/>
  <c r="R25" i="2"/>
  <c r="H13" i="2"/>
  <c r="L11" i="2"/>
  <c r="W20" i="2"/>
  <c r="V13" i="2"/>
  <c r="E19" i="2"/>
  <c r="E13" i="2"/>
  <c r="I13" i="2"/>
  <c r="U19" i="2"/>
  <c r="Y17" i="2"/>
  <c r="L21" i="2"/>
  <c r="V19" i="2"/>
  <c r="H25" i="2"/>
  <c r="Y16" i="2"/>
  <c r="L14" i="2"/>
  <c r="T19" i="2"/>
  <c r="L20" i="2"/>
  <c r="T13" i="2"/>
  <c r="G17" i="2"/>
  <c r="L17" i="2" s="1"/>
  <c r="R19" i="2"/>
  <c r="W8" i="2"/>
  <c r="E25" i="2"/>
  <c r="T20" i="2"/>
  <c r="R13" i="2"/>
  <c r="G8" i="2"/>
  <c r="W10" i="2"/>
  <c r="Y10" i="2" s="1"/>
  <c r="W12" i="2"/>
  <c r="Y12" i="2" s="1"/>
  <c r="W21" i="2"/>
  <c r="W14" i="2"/>
  <c r="U30" i="2" l="1"/>
  <c r="V30" i="2"/>
  <c r="R30" i="2"/>
  <c r="J30" i="2"/>
  <c r="H30" i="2"/>
  <c r="I30" i="2"/>
  <c r="E30" i="2"/>
  <c r="V51" i="2"/>
  <c r="C57" i="2" s="1"/>
  <c r="I51" i="2"/>
  <c r="C56" i="2" s="1"/>
  <c r="W19" i="2"/>
  <c r="W25" i="2"/>
  <c r="W13" i="2"/>
  <c r="L25" i="2"/>
  <c r="Y14" i="2"/>
  <c r="Y19" i="2" s="1"/>
  <c r="Y8" i="2"/>
  <c r="Y13" i="2" s="1"/>
  <c r="L19" i="2"/>
  <c r="G19" i="2"/>
  <c r="G13" i="2"/>
  <c r="L8" i="2"/>
  <c r="L13" i="2" s="1"/>
  <c r="Y20" i="2"/>
  <c r="T25" i="2"/>
  <c r="T30" i="2" s="1"/>
  <c r="Y21" i="2"/>
  <c r="C60" i="2" l="1"/>
  <c r="W30" i="2"/>
  <c r="C61" i="2" s="1"/>
  <c r="L30" i="2"/>
  <c r="G30" i="2"/>
  <c r="C58" i="2"/>
  <c r="C73" i="2" s="1"/>
  <c r="Y25" i="2"/>
  <c r="Y30" i="2" s="1"/>
  <c r="C62" i="2"/>
  <c r="C59" i="2" l="1"/>
  <c r="C70" i="2" s="1"/>
  <c r="C71" i="2" s="1"/>
  <c r="C72" i="2" l="1"/>
  <c r="C75" i="2" s="1"/>
  <c r="C76" i="2" s="1"/>
  <c r="E76" i="2" s="1"/>
  <c r="C77" i="2" l="1"/>
  <c r="E77" i="2" l="1"/>
  <c r="C3" i="3"/>
  <c r="O29" i="2"/>
  <c r="W29" i="2"/>
  <c r="F29" i="2"/>
  <c r="H29" i="2"/>
  <c r="U29" i="2"/>
  <c r="T29" i="2"/>
  <c r="Y29" i="2"/>
  <c r="S29" i="2"/>
  <c r="I29" i="2"/>
  <c r="L29" i="2"/>
  <c r="J29" i="2"/>
  <c r="Q29" i="2"/>
  <c r="V29" i="2"/>
  <c r="D29" i="2"/>
  <c r="B29" i="2"/>
  <c r="G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H8" authorId="0" shapeId="0" xr:uid="{00000000-0006-0000-0100-000001000000}">
      <text>
        <r>
          <rPr>
            <sz val="12"/>
            <color theme="1"/>
            <rFont val="Aptos Narrow"/>
            <family val="2"/>
            <scheme val="minor"/>
          </rPr>
          <t>======
ID#AAABx2dUXrQ
BCUser    (2025-08-05 03:55:49)
แก้ไข 0 ในสูตร เป็น จำนวน ชม. OT ต่อวัน</t>
        </r>
      </text>
    </comment>
    <comment ref="U8" authorId="0" shapeId="0" xr:uid="{00000000-0006-0000-0100-000002000000}">
      <text>
        <r>
          <rPr>
            <sz val="12"/>
            <color theme="1"/>
            <rFont val="Aptos Narrow"/>
            <family val="2"/>
            <scheme val="minor"/>
          </rPr>
          <t>======
ID#AAABx2dUXrQ
BCUser    (2025-08-05 03:55:49)
แก้ไข 0 ในสูตร เป็น จำนวน ชม. OT ต่อวัน</t>
        </r>
      </text>
    </comment>
    <comment ref="H9" authorId="0" shapeId="0" xr:uid="{00000000-0006-0000-0100-000003000000}">
      <text>
        <r>
          <rPr>
            <sz val="12"/>
            <color theme="1"/>
            <rFont val="Aptos Narrow"/>
            <family val="2"/>
            <scheme val="minor"/>
          </rPr>
          <t>======
ID#AAABx2dUZgM
BCUser    (2025-08-05 03:55:49)
แก้ไข 0 ในสูตร เป็น จำนวน ชม. OT ต่อวัน</t>
        </r>
      </text>
    </comment>
    <comment ref="I9" authorId="0" shapeId="0" xr:uid="{00000000-0006-0000-0100-000004000000}">
      <text>
        <r>
          <rPr>
            <sz val="12"/>
            <color theme="1"/>
            <rFont val="Aptos Narrow"/>
            <family val="2"/>
            <scheme val="minor"/>
          </rPr>
          <t>======
ID#AAABx2dUYRc
BCUser    (2025-08-05 03:55:49)
แก้ไข 0 ในสูตร คูณกับ จำนวนคน ต่อวัน</t>
        </r>
      </text>
    </comment>
    <comment ref="U9" authorId="0" shapeId="0" xr:uid="{00000000-0006-0000-0100-000005000000}">
      <text>
        <r>
          <rPr>
            <sz val="12"/>
            <color theme="1"/>
            <rFont val="Aptos Narrow"/>
            <family val="2"/>
            <scheme val="minor"/>
          </rPr>
          <t>======
ID#AAABx2dUZgM
BCUser    (2025-08-05 03:55:49)
แก้ไข 0 ในสูตร เป็น จำนวน ชม. OT ต่อวัน</t>
        </r>
      </text>
    </comment>
    <comment ref="V9" authorId="0" shapeId="0" xr:uid="{00000000-0006-0000-0100-000006000000}">
      <text>
        <r>
          <rPr>
            <sz val="12"/>
            <color theme="1"/>
            <rFont val="Aptos Narrow"/>
            <family val="2"/>
            <scheme val="minor"/>
          </rPr>
          <t>======
ID#AAABx2dUYRc
BCUser    (2025-08-05 03:55:49)
แก้ไข 0 ในสูตร คูณกับ จำนวนคน ต่อวัน</t>
        </r>
      </text>
    </comment>
    <comment ref="H10" authorId="0" shapeId="0" xr:uid="{00000000-0006-0000-0100-000007000000}">
      <text>
        <r>
          <rPr>
            <sz val="12"/>
            <color theme="1"/>
            <rFont val="Aptos Narrow"/>
            <family val="2"/>
            <scheme val="minor"/>
          </rPr>
          <t>======
ID#AAABx2dUYdc
BCUser    (2025-08-05 03:55:49)
แก้ไข 0 ในสูตร เป็น จำนวน ชม. OT ต่อวัน</t>
        </r>
      </text>
    </comment>
    <comment ref="I10" authorId="0" shapeId="0" xr:uid="{00000000-0006-0000-0100-000008000000}">
      <text>
        <r>
          <rPr>
            <sz val="12"/>
            <color theme="1"/>
            <rFont val="Aptos Narrow"/>
            <family val="2"/>
            <scheme val="minor"/>
          </rPr>
          <t>======
ID#AAABx2dUYE8
BCUser    (2025-08-05 03:55:50)
แก้ไข 0 ในสูตร คูณกับ จำนวนคน ต่อวัน</t>
        </r>
      </text>
    </comment>
    <comment ref="U10" authorId="0" shapeId="0" xr:uid="{00000000-0006-0000-0100-000009000000}">
      <text>
        <r>
          <rPr>
            <sz val="12"/>
            <color theme="1"/>
            <rFont val="Aptos Narrow"/>
            <family val="2"/>
            <scheme val="minor"/>
          </rPr>
          <t>======
ID#AAABx2dUYdc
BCUser    (2025-08-05 03:55:49)
แก้ไข 0 ในสูตร เป็น จำนวน ชม. OT ต่อวัน</t>
        </r>
      </text>
    </comment>
    <comment ref="V10" authorId="0" shapeId="0" xr:uid="{00000000-0006-0000-0100-00000A000000}">
      <text>
        <r>
          <rPr>
            <sz val="12"/>
            <color theme="1"/>
            <rFont val="Aptos Narrow"/>
            <family val="2"/>
            <scheme val="minor"/>
          </rPr>
          <t>======
ID#AAABx2dUYE8
BCUser    (2025-08-05 03:55:50)
แก้ไข 0 ในสูตร คูณกับ จำนวนคน ต่อวัน</t>
        </r>
      </text>
    </comment>
    <comment ref="H11" authorId="0" shapeId="0" xr:uid="{00000000-0006-0000-0100-00000B000000}">
      <text>
        <r>
          <rPr>
            <sz val="12"/>
            <color theme="1"/>
            <rFont val="Aptos Narrow"/>
            <family val="2"/>
            <scheme val="minor"/>
          </rPr>
          <t>======
ID#AAABx2dUZQ4
BCUser    (2025-08-05 03:55:49)
แก้ไข 0 ในสูตร เป็น จำนวน ชม. OT ต่อวัน</t>
        </r>
      </text>
    </comment>
    <comment ref="I11" authorId="0" shapeId="0" xr:uid="{00000000-0006-0000-0100-00000C000000}">
      <text>
        <r>
          <rPr>
            <sz val="12"/>
            <color theme="1"/>
            <rFont val="Aptos Narrow"/>
            <family val="2"/>
            <scheme val="minor"/>
          </rPr>
          <t>======
ID#AAABx2dUZOA
BCUser    (2025-08-05 03:55:50)
แก้ไข 0 ในสูตร คูณกับ จำนวนคน ต่อวัน</t>
        </r>
      </text>
    </comment>
    <comment ref="U11" authorId="0" shapeId="0" xr:uid="{00000000-0006-0000-0100-00000D000000}">
      <text>
        <r>
          <rPr>
            <sz val="12"/>
            <color theme="1"/>
            <rFont val="Aptos Narrow"/>
            <family val="2"/>
            <scheme val="minor"/>
          </rPr>
          <t>======
ID#AAABx2dUZQ4
BCUser    (2025-08-05 03:55:49)
แก้ไข 0 ในสูตร เป็น จำนวน ชม. OT ต่อวัน</t>
        </r>
      </text>
    </comment>
    <comment ref="V11" authorId="0" shapeId="0" xr:uid="{00000000-0006-0000-0100-00000E000000}">
      <text>
        <r>
          <rPr>
            <sz val="12"/>
            <color theme="1"/>
            <rFont val="Aptos Narrow"/>
            <family val="2"/>
            <scheme val="minor"/>
          </rPr>
          <t>======
ID#AAABx2dUZOA
BCUser    (2025-08-05 03:55:50)
แก้ไข 0 ในสูตร คูณกับ จำนวนคน ต่อวัน</t>
        </r>
      </text>
    </comment>
    <comment ref="H12" authorId="0" shapeId="0" xr:uid="{00000000-0006-0000-0100-00000F000000}">
      <text>
        <r>
          <rPr>
            <sz val="12"/>
            <color theme="1"/>
            <rFont val="Aptos Narrow"/>
            <family val="2"/>
            <scheme val="minor"/>
          </rPr>
          <t>======
ID#AAABx2dUZxQ
BCUser    (2025-08-05 03:55:50)
แก้ไข 0 ในสูตร เป็น จำนวน ชม. OT ต่อวัน</t>
        </r>
      </text>
    </comment>
    <comment ref="I12" authorId="0" shapeId="0" xr:uid="{00000000-0006-0000-0100-000010000000}">
      <text>
        <r>
          <rPr>
            <sz val="12"/>
            <color theme="1"/>
            <rFont val="Aptos Narrow"/>
            <family val="2"/>
            <scheme val="minor"/>
          </rPr>
          <t>======
ID#AAABx2dUXsE
BCUser    (2025-08-05 03:55:50)
แก้ไข 0 ในสูตร คูณกับ จำนวนคน ต่อวัน</t>
        </r>
      </text>
    </comment>
    <comment ref="U12" authorId="0" shapeId="0" xr:uid="{00000000-0006-0000-0100-000011000000}">
      <text>
        <r>
          <rPr>
            <sz val="12"/>
            <color theme="1"/>
            <rFont val="Aptos Narrow"/>
            <family val="2"/>
            <scheme val="minor"/>
          </rPr>
          <t>======
ID#AAABx2dUZxQ
BCUser    (2025-08-05 03:55:50)
แก้ไข 0 ในสูตร เป็น จำนวน ชม. OT ต่อวัน</t>
        </r>
      </text>
    </comment>
    <comment ref="V12" authorId="0" shapeId="0" xr:uid="{00000000-0006-0000-0100-000012000000}">
      <text>
        <r>
          <rPr>
            <sz val="12"/>
            <color theme="1"/>
            <rFont val="Aptos Narrow"/>
            <family val="2"/>
            <scheme val="minor"/>
          </rPr>
          <t>======
ID#AAABx2dUXsE
BCUser    (2025-08-05 03:55:50)
แก้ไข 0 ในสูตร คูณกับ จำนวนคน ต่อวัน</t>
        </r>
      </text>
    </comment>
    <comment ref="H14" authorId="0" shapeId="0" xr:uid="{00000000-0006-0000-0100-000013000000}">
      <text>
        <r>
          <rPr>
            <sz val="12"/>
            <color theme="1"/>
            <rFont val="Aptos Narrow"/>
            <family val="2"/>
            <scheme val="minor"/>
          </rPr>
          <t>======
ID#AAABx2dUZ1U
BCUser    (2025-08-05 03:55:49)
แก้ไข 0 ในสูตร เป็น จำนวน ชม. OT ต่อวัน</t>
        </r>
      </text>
    </comment>
    <comment ref="U14" authorId="0" shapeId="0" xr:uid="{00000000-0006-0000-0100-000014000000}">
      <text>
        <r>
          <rPr>
            <sz val="12"/>
            <color theme="1"/>
            <rFont val="Aptos Narrow"/>
            <family val="2"/>
            <scheme val="minor"/>
          </rPr>
          <t>======
ID#AAABx2dUZ1U
BCUser    (2025-08-05 03:55:49)
แก้ไข 0 ในสูตร เป็น จำนวน ชม. OT ต่อวัน</t>
        </r>
      </text>
    </comment>
    <comment ref="H15" authorId="0" shapeId="0" xr:uid="{00000000-0006-0000-0100-000015000000}">
      <text>
        <r>
          <rPr>
            <sz val="12"/>
            <color theme="1"/>
            <rFont val="Aptos Narrow"/>
            <family val="2"/>
            <scheme val="minor"/>
          </rPr>
          <t>======
ID#AAABx2dUZNk
BCUser    (2025-08-05 03:55:50)
แก้ไข 0 ในสูตร เป็น จำนวน ชม. OT ต่อวัน</t>
        </r>
      </text>
    </comment>
    <comment ref="I15" authorId="0" shapeId="0" xr:uid="{00000000-0006-0000-0100-000016000000}">
      <text>
        <r>
          <rPr>
            <sz val="12"/>
            <color theme="1"/>
            <rFont val="Aptos Narrow"/>
            <family val="2"/>
            <scheme val="minor"/>
          </rPr>
          <t>======
ID#AAABx2dUYRc
BCUser    (2025-08-05 03:55:49)
แก้ไข 0 ในสูตร คูณกับ จำนวนคน ต่อวัน</t>
        </r>
      </text>
    </comment>
    <comment ref="U15" authorId="0" shapeId="0" xr:uid="{00000000-0006-0000-0100-000017000000}">
      <text>
        <r>
          <rPr>
            <sz val="12"/>
            <color theme="1"/>
            <rFont val="Aptos Narrow"/>
            <family val="2"/>
            <scheme val="minor"/>
          </rPr>
          <t>======
ID#AAABx2dUZNk
BCUser    (2025-08-05 03:55:50)
แก้ไข 0 ในสูตร เป็น จำนวน ชม. OT ต่อวัน</t>
        </r>
      </text>
    </comment>
    <comment ref="V15" authorId="0" shapeId="0" xr:uid="{00000000-0006-0000-0100-000018000000}">
      <text>
        <r>
          <rPr>
            <sz val="12"/>
            <color theme="1"/>
            <rFont val="Aptos Narrow"/>
            <family val="2"/>
            <scheme val="minor"/>
          </rPr>
          <t>======
ID#AAABx2dUYRc
BCUser    (2025-08-05 03:55:49)
แก้ไข 0 ในสูตร คูณกับ จำนวนคน ต่อวัน</t>
        </r>
      </text>
    </comment>
    <comment ref="H16" authorId="0" shapeId="0" xr:uid="{00000000-0006-0000-0100-000019000000}">
      <text>
        <r>
          <rPr>
            <sz val="12"/>
            <color theme="1"/>
            <rFont val="Aptos Narrow"/>
            <family val="2"/>
            <scheme val="minor"/>
          </rPr>
          <t>======
ID#AAABx2dUYtg
BCUser    (2025-08-05 03:55:49)
แก้ไข 0 ในสูตร เป็น จำนวน ชม. OT ต่อวัน</t>
        </r>
      </text>
    </comment>
    <comment ref="I16" authorId="0" shapeId="0" xr:uid="{00000000-0006-0000-0100-00001A000000}">
      <text>
        <r>
          <rPr>
            <sz val="12"/>
            <color theme="1"/>
            <rFont val="Aptos Narrow"/>
            <family val="2"/>
            <scheme val="minor"/>
          </rPr>
          <t>======
ID#AAABx2dUYE8
BCUser    (2025-08-05 03:55:50)
แก้ไข 0 ในสูตร คูณกับ จำนวนคน ต่อวัน</t>
        </r>
      </text>
    </comment>
    <comment ref="U16" authorId="0" shapeId="0" xr:uid="{00000000-0006-0000-0100-00001B000000}">
      <text>
        <r>
          <rPr>
            <sz val="12"/>
            <color theme="1"/>
            <rFont val="Aptos Narrow"/>
            <family val="2"/>
            <scheme val="minor"/>
          </rPr>
          <t>======
ID#AAABx2dUYtg
BCUser    (2025-08-05 03:55:49)
แก้ไข 0 ในสูตร เป็น จำนวน ชม. OT ต่อวัน</t>
        </r>
      </text>
    </comment>
    <comment ref="V16" authorId="0" shapeId="0" xr:uid="{00000000-0006-0000-0100-00001C000000}">
      <text>
        <r>
          <rPr>
            <sz val="12"/>
            <color theme="1"/>
            <rFont val="Aptos Narrow"/>
            <family val="2"/>
            <scheme val="minor"/>
          </rPr>
          <t>======
ID#AAABx2dUYE8
BCUser    (2025-08-05 03:55:50)
แก้ไข 0 ในสูตร คูณกับ จำนวนคน ต่อวัน</t>
        </r>
      </text>
    </comment>
    <comment ref="H17" authorId="0" shapeId="0" xr:uid="{00000000-0006-0000-0100-00001D000000}">
      <text>
        <r>
          <rPr>
            <sz val="12"/>
            <color theme="1"/>
            <rFont val="Aptos Narrow"/>
            <family val="2"/>
            <scheme val="minor"/>
          </rPr>
          <t>======
ID#AAABx2dUZKQ
BCUser    (2025-08-05 03:55:50)
แก้ไข 0 ในสูตร เป็น จำนวน ชม. OT ต่อวัน</t>
        </r>
      </text>
    </comment>
    <comment ref="I17" authorId="0" shapeId="0" xr:uid="{00000000-0006-0000-0100-00001E000000}">
      <text>
        <r>
          <rPr>
            <sz val="12"/>
            <color theme="1"/>
            <rFont val="Aptos Narrow"/>
            <family val="2"/>
            <scheme val="minor"/>
          </rPr>
          <t>======
ID#AAABx2dUZOA
BCUser    (2025-08-05 03:55:50)
แก้ไข 0 ในสูตร คูณกับ จำนวนคน ต่อวัน</t>
        </r>
      </text>
    </comment>
    <comment ref="U17" authorId="0" shapeId="0" xr:uid="{00000000-0006-0000-0100-00001F000000}">
      <text>
        <r>
          <rPr>
            <sz val="12"/>
            <color theme="1"/>
            <rFont val="Aptos Narrow"/>
            <family val="2"/>
            <scheme val="minor"/>
          </rPr>
          <t>======
ID#AAABx2dUZKQ
BCUser    (2025-08-05 03:55:50)
แก้ไข 0 ในสูตร เป็น จำนวน ชม. OT ต่อวัน</t>
        </r>
      </text>
    </comment>
    <comment ref="V17" authorId="0" shapeId="0" xr:uid="{00000000-0006-0000-0100-000020000000}">
      <text>
        <r>
          <rPr>
            <sz val="12"/>
            <color theme="1"/>
            <rFont val="Aptos Narrow"/>
            <family val="2"/>
            <scheme val="minor"/>
          </rPr>
          <t>======
ID#AAABx2dUZOA
BCUser    (2025-08-05 03:55:50)
แก้ไข 0 ในสูตร คูณกับ จำนวนคน ต่อวัน</t>
        </r>
      </text>
    </comment>
    <comment ref="H18" authorId="0" shapeId="0" xr:uid="{00000000-0006-0000-0100-000021000000}">
      <text>
        <r>
          <rPr>
            <sz val="12"/>
            <color theme="1"/>
            <rFont val="Aptos Narrow"/>
            <family val="2"/>
            <scheme val="minor"/>
          </rPr>
          <t>======
ID#AAABx2dUYKg
BCUser    (2025-08-05 03:55:50)
แก้ไข 0 ในสูตร เป็น จำนวน ชม. OT ต่อวัน</t>
        </r>
      </text>
    </comment>
    <comment ref="I18" authorId="0" shapeId="0" xr:uid="{00000000-0006-0000-0100-000022000000}">
      <text>
        <r>
          <rPr>
            <sz val="12"/>
            <color theme="1"/>
            <rFont val="Aptos Narrow"/>
            <family val="2"/>
            <scheme val="minor"/>
          </rPr>
          <t>======
ID#AAABx2dUXsE
BCUser    (2025-08-05 03:55:50)
แก้ไข 0 ในสูตร คูณกับ จำนวนคน ต่อวัน</t>
        </r>
      </text>
    </comment>
    <comment ref="U18" authorId="0" shapeId="0" xr:uid="{00000000-0006-0000-0100-000023000000}">
      <text>
        <r>
          <rPr>
            <sz val="12"/>
            <color theme="1"/>
            <rFont val="Aptos Narrow"/>
            <family val="2"/>
            <scheme val="minor"/>
          </rPr>
          <t>======
ID#AAABx2dUYKg
BCUser    (2025-08-05 03:55:50)
แก้ไข 0 ในสูตร เป็น จำนวน ชม. OT ต่อวัน</t>
        </r>
      </text>
    </comment>
    <comment ref="V18" authorId="0" shapeId="0" xr:uid="{00000000-0006-0000-0100-000024000000}">
      <text>
        <r>
          <rPr>
            <sz val="12"/>
            <color theme="1"/>
            <rFont val="Aptos Narrow"/>
            <family val="2"/>
            <scheme val="minor"/>
          </rPr>
          <t>======
ID#AAABx2dUXsE
BCUser    (2025-08-05 03:55:50)
แก้ไข 0 ในสูตร คูณกับ จำนวนคน ต่อวัน</t>
        </r>
      </text>
    </comment>
    <comment ref="H20" authorId="0" shapeId="0" xr:uid="{00000000-0006-0000-0100-000025000000}">
      <text>
        <r>
          <rPr>
            <sz val="12"/>
            <color theme="1"/>
            <rFont val="Aptos Narrow"/>
            <family val="2"/>
            <scheme val="minor"/>
          </rPr>
          <t>======
ID#AAABx1ztgAU
BCUser    (2025-08-05 03:55:49)
แก้ไข 0 ในสูตร เป็น จำนวน ชม. OT ต่อวัน</t>
        </r>
      </text>
    </comment>
    <comment ref="U20" authorId="0" shapeId="0" xr:uid="{00000000-0006-0000-0100-000026000000}">
      <text>
        <r>
          <rPr>
            <sz val="12"/>
            <color theme="1"/>
            <rFont val="Aptos Narrow"/>
            <family val="2"/>
            <scheme val="minor"/>
          </rPr>
          <t>======
ID#AAABx1ztgAU
BCUser    (2025-08-05 03:55:49)
แก้ไข 0 ในสูตร เป็น จำนวน ชม. OT ต่อวัน</t>
        </r>
      </text>
    </comment>
    <comment ref="H21" authorId="0" shapeId="0" xr:uid="{00000000-0006-0000-0100-000027000000}">
      <text>
        <r>
          <rPr>
            <sz val="12"/>
            <color theme="1"/>
            <rFont val="Aptos Narrow"/>
            <family val="2"/>
            <scheme val="minor"/>
          </rPr>
          <t>======
ID#AAABx2dUYrU
BCUser    (2025-08-05 03:55:49)
แก้ไข 0 ในสูตร เป็น จำนวน ชม. OT ต่อวัน</t>
        </r>
      </text>
    </comment>
    <comment ref="I21" authorId="0" shapeId="0" xr:uid="{00000000-0006-0000-0100-000028000000}">
      <text>
        <r>
          <rPr>
            <sz val="12"/>
            <color theme="1"/>
            <rFont val="Aptos Narrow"/>
            <family val="2"/>
            <scheme val="minor"/>
          </rPr>
          <t>======
ID#AAABx2dUYRc
BCUser    (2025-08-05 03:55:49)
แก้ไข 0 ในสูตร คูณกับ จำนวนคน ต่อวัน</t>
        </r>
      </text>
    </comment>
    <comment ref="U21" authorId="0" shapeId="0" xr:uid="{00000000-0006-0000-0100-000029000000}">
      <text>
        <r>
          <rPr>
            <sz val="12"/>
            <color theme="1"/>
            <rFont val="Aptos Narrow"/>
            <family val="2"/>
            <scheme val="minor"/>
          </rPr>
          <t>======
ID#AAABx2dUYrU
BCUser    (2025-08-05 03:55:49)
แก้ไข 0 ในสูตร เป็น จำนวน ชม. OT ต่อวัน</t>
        </r>
      </text>
    </comment>
    <comment ref="V21" authorId="0" shapeId="0" xr:uid="{00000000-0006-0000-0100-00002A000000}">
      <text>
        <r>
          <rPr>
            <sz val="12"/>
            <color theme="1"/>
            <rFont val="Aptos Narrow"/>
            <family val="2"/>
            <scheme val="minor"/>
          </rPr>
          <t>======
ID#AAABx2dUYRc
BCUser    (2025-08-05 03:55:49)
แก้ไข 0 ในสูตร คูณกับ จำนวนคน ต่อวัน</t>
        </r>
      </text>
    </comment>
    <comment ref="H22" authorId="0" shapeId="0" xr:uid="{00000000-0006-0000-0100-00002B000000}">
      <text>
        <r>
          <rPr>
            <sz val="12"/>
            <color theme="1"/>
            <rFont val="Aptos Narrow"/>
            <family val="2"/>
            <scheme val="minor"/>
          </rPr>
          <t>======
ID#AAABx2dUaD8
BCUser    (2025-08-05 03:55:50)
แก้ไข 0 ในสูตร เป็น จำนวน ชม. OT ต่อวัน</t>
        </r>
      </text>
    </comment>
    <comment ref="I22" authorId="0" shapeId="0" xr:uid="{00000000-0006-0000-0100-00002C000000}">
      <text>
        <r>
          <rPr>
            <sz val="12"/>
            <color theme="1"/>
            <rFont val="Aptos Narrow"/>
            <family val="2"/>
            <scheme val="minor"/>
          </rPr>
          <t>======
ID#AAABx2dUYE8
BCUser    (2025-08-05 03:55:50)
แก้ไข 0 ในสูตร คูณกับ จำนวนคน ต่อวัน</t>
        </r>
      </text>
    </comment>
    <comment ref="U22" authorId="0" shapeId="0" xr:uid="{00000000-0006-0000-0100-00002D000000}">
      <text>
        <r>
          <rPr>
            <sz val="12"/>
            <color theme="1"/>
            <rFont val="Aptos Narrow"/>
            <family val="2"/>
            <scheme val="minor"/>
          </rPr>
          <t>======
ID#AAABx2dUaD8
BCUser    (2025-08-05 03:55:50)
แก้ไข 0 ในสูตร เป็น จำนวน ชม. OT ต่อวัน</t>
        </r>
      </text>
    </comment>
    <comment ref="V22" authorId="0" shapeId="0" xr:uid="{00000000-0006-0000-0100-00002E000000}">
      <text>
        <r>
          <rPr>
            <sz val="12"/>
            <color theme="1"/>
            <rFont val="Aptos Narrow"/>
            <family val="2"/>
            <scheme val="minor"/>
          </rPr>
          <t>======
ID#AAABx2dUYE8
BCUser    (2025-08-05 03:55:50)
แก้ไข 0 ในสูตร คูณกับ จำนวนคน ต่อวัน</t>
        </r>
      </text>
    </comment>
    <comment ref="H23" authorId="0" shapeId="0" xr:uid="{00000000-0006-0000-0100-00002F000000}">
      <text>
        <r>
          <rPr>
            <sz val="12"/>
            <color theme="1"/>
            <rFont val="Aptos Narrow"/>
            <family val="2"/>
            <scheme val="minor"/>
          </rPr>
          <t>======
ID#AAABx2dUZVw
BCUser    (2025-08-05 03:55:49)
แก้ไข 0 ในสูตร เป็น จำนวน ชม. OT ต่อวัน</t>
        </r>
      </text>
    </comment>
    <comment ref="I23" authorId="0" shapeId="0" xr:uid="{00000000-0006-0000-0100-000030000000}">
      <text>
        <r>
          <rPr>
            <sz val="12"/>
            <color theme="1"/>
            <rFont val="Aptos Narrow"/>
            <family val="2"/>
            <scheme val="minor"/>
          </rPr>
          <t>======
ID#AAABx2dUZOA
BCUser    (2025-08-05 03:55:50)
แก้ไข 0 ในสูตร คูณกับ จำนวนคน ต่อวัน</t>
        </r>
      </text>
    </comment>
    <comment ref="U23" authorId="0" shapeId="0" xr:uid="{00000000-0006-0000-0100-000031000000}">
      <text>
        <r>
          <rPr>
            <sz val="12"/>
            <color theme="1"/>
            <rFont val="Aptos Narrow"/>
            <family val="2"/>
            <scheme val="minor"/>
          </rPr>
          <t>======
ID#AAABx2dUZVw
BCUser    (2025-08-05 03:55:49)
แก้ไข 0 ในสูตร เป็น จำนวน ชม. OT ต่อวัน</t>
        </r>
      </text>
    </comment>
    <comment ref="V23" authorId="0" shapeId="0" xr:uid="{00000000-0006-0000-0100-000032000000}">
      <text>
        <r>
          <rPr>
            <sz val="12"/>
            <color theme="1"/>
            <rFont val="Aptos Narrow"/>
            <family val="2"/>
            <scheme val="minor"/>
          </rPr>
          <t>======
ID#AAABx2dUZOA
BCUser    (2025-08-05 03:55:50)
แก้ไข 0 ในสูตร คูณกับ จำนวนคน ต่อวัน</t>
        </r>
      </text>
    </comment>
    <comment ref="H24" authorId="0" shapeId="0" xr:uid="{00000000-0006-0000-0100-000033000000}">
      <text>
        <r>
          <rPr>
            <sz val="12"/>
            <color theme="1"/>
            <rFont val="Aptos Narrow"/>
            <family val="2"/>
            <scheme val="minor"/>
          </rPr>
          <t>======
ID#AAABx2dUY68
BCUser    (2025-08-05 03:55:49)
แก้ไข 0 ในสูตร เป็น จำนวน ชม. OT ต่อวัน</t>
        </r>
      </text>
    </comment>
    <comment ref="I24" authorId="0" shapeId="0" xr:uid="{00000000-0006-0000-0100-000034000000}">
      <text>
        <r>
          <rPr>
            <sz val="12"/>
            <color theme="1"/>
            <rFont val="Aptos Narrow"/>
            <family val="2"/>
            <scheme val="minor"/>
          </rPr>
          <t>======
ID#AAABx2dUXsE
BCUser    (2025-08-05 03:55:50)
แก้ไข 0 ในสูตร คูณกับ จำนวนคน ต่อวัน</t>
        </r>
      </text>
    </comment>
    <comment ref="U24" authorId="0" shapeId="0" xr:uid="{00000000-0006-0000-0100-000035000000}">
      <text>
        <r>
          <rPr>
            <sz val="12"/>
            <color theme="1"/>
            <rFont val="Aptos Narrow"/>
            <family val="2"/>
            <scheme val="minor"/>
          </rPr>
          <t>======
ID#AAABx2dUY68
BCUser    (2025-08-05 03:55:49)
แก้ไข 0 ในสูตร เป็น จำนวน ชม. OT ต่อวัน</t>
        </r>
      </text>
    </comment>
    <comment ref="V24" authorId="0" shapeId="0" xr:uid="{00000000-0006-0000-0100-000036000000}">
      <text>
        <r>
          <rPr>
            <sz val="12"/>
            <color theme="1"/>
            <rFont val="Aptos Narrow"/>
            <family val="2"/>
            <scheme val="minor"/>
          </rPr>
          <t>======
ID#AAABx2dUXsE
BCUser    (2025-08-05 03:55:50)
แก้ไข 0 ในสูตร คูณกับ จำนวนคน ต่อวัน</t>
        </r>
      </text>
    </comment>
    <comment ref="H26" authorId="0" shapeId="0" xr:uid="{00000000-0006-0000-0100-000037000000}">
      <text>
        <r>
          <rPr>
            <sz val="12"/>
            <color theme="1"/>
            <rFont val="Aptos Narrow"/>
            <family val="2"/>
            <scheme val="minor"/>
          </rPr>
          <t>======
ID#AAABx1ztgAU
BCUser    (2025-08-05 03:55:49)
แก้ไข 0 ในสูตร เป็น จำนวน ชม. OT ต่อวัน</t>
        </r>
      </text>
    </comment>
    <comment ref="U26" authorId="0" shapeId="0" xr:uid="{00000000-0006-0000-0100-000038000000}">
      <text>
        <r>
          <rPr>
            <sz val="12"/>
            <color theme="1"/>
            <rFont val="Aptos Narrow"/>
            <family val="2"/>
            <scheme val="minor"/>
          </rPr>
          <t>======
ID#AAABx1ztgAU
BCUser    (2025-08-05 03:55:49)
แก้ไข 0 ในสูตร เป็น จำนวน ชม. OT ต่อวัน</t>
        </r>
      </text>
    </comment>
    <comment ref="H27" authorId="0" shapeId="0" xr:uid="{00000000-0006-0000-0100-000039000000}">
      <text>
        <r>
          <rPr>
            <sz val="12"/>
            <color theme="1"/>
            <rFont val="Aptos Narrow"/>
            <family val="2"/>
            <scheme val="minor"/>
          </rPr>
          <t>======
ID#AAABx2dUYrU
BCUser    (2025-08-05 03:55:49)
แก้ไข 0 ในสูตร เป็น จำนวน ชม. OT ต่อวัน</t>
        </r>
      </text>
    </comment>
    <comment ref="I27" authorId="0" shapeId="0" xr:uid="{00000000-0006-0000-0100-00003A000000}">
      <text>
        <r>
          <rPr>
            <sz val="12"/>
            <color theme="1"/>
            <rFont val="Aptos Narrow"/>
            <family val="2"/>
            <scheme val="minor"/>
          </rPr>
          <t>======
ID#AAABx2dUYRc
BCUser    (2025-08-05 03:55:49)
แก้ไข 0 ในสูตร คูณกับ จำนวนคน ต่อวัน</t>
        </r>
      </text>
    </comment>
    <comment ref="U27" authorId="0" shapeId="0" xr:uid="{00000000-0006-0000-0100-00003B000000}">
      <text>
        <r>
          <rPr>
            <sz val="12"/>
            <color theme="1"/>
            <rFont val="Aptos Narrow"/>
            <family val="2"/>
            <scheme val="minor"/>
          </rPr>
          <t>======
ID#AAABx2dUYrU
BCUser    (2025-08-05 03:55:49)
แก้ไข 0 ในสูตร เป็น จำนวน ชม. OT ต่อวัน</t>
        </r>
      </text>
    </comment>
    <comment ref="V27" authorId="0" shapeId="0" xr:uid="{00000000-0006-0000-0100-00003C000000}">
      <text>
        <r>
          <rPr>
            <sz val="12"/>
            <color theme="1"/>
            <rFont val="Aptos Narrow"/>
            <family val="2"/>
            <scheme val="minor"/>
          </rPr>
          <t>======
ID#AAABx2dUYRc
BCUser    (2025-08-05 03:55:49)
แก้ไข 0 ในสูตร คูณกับ จำนวนคน ต่อวัน</t>
        </r>
      </text>
    </comment>
    <comment ref="H28" authorId="0" shapeId="0" xr:uid="{00000000-0006-0000-0100-00003D000000}">
      <text>
        <r>
          <rPr>
            <sz val="12"/>
            <color theme="1"/>
            <rFont val="Aptos Narrow"/>
            <family val="2"/>
            <scheme val="minor"/>
          </rPr>
          <t>======
ID#AAABx2dUaD8
BCUser    (2025-08-05 03:55:50)
แก้ไข 0 ในสูตร เป็น จำนวน ชม. OT ต่อวัน</t>
        </r>
      </text>
    </comment>
    <comment ref="I28" authorId="0" shapeId="0" xr:uid="{00000000-0006-0000-0100-00003E000000}">
      <text>
        <r>
          <rPr>
            <sz val="12"/>
            <color theme="1"/>
            <rFont val="Aptos Narrow"/>
            <family val="2"/>
            <scheme val="minor"/>
          </rPr>
          <t>======
ID#AAABx2dUYE8
BCUser    (2025-08-05 03:55:50)
แก้ไข 0 ในสูตร คูณกับ จำนวนคน ต่อวัน</t>
        </r>
      </text>
    </comment>
    <comment ref="U28" authorId="0" shapeId="0" xr:uid="{00000000-0006-0000-0100-00003F000000}">
      <text>
        <r>
          <rPr>
            <sz val="12"/>
            <color theme="1"/>
            <rFont val="Aptos Narrow"/>
            <family val="2"/>
            <scheme val="minor"/>
          </rPr>
          <t>======
ID#AAABx2dUaD8
BCUser    (2025-08-05 03:55:50)
แก้ไข 0 ในสูตร เป็น จำนวน ชม. OT ต่อวัน</t>
        </r>
      </text>
    </comment>
    <comment ref="V28" authorId="0" shapeId="0" xr:uid="{00000000-0006-0000-0100-000040000000}">
      <text>
        <r>
          <rPr>
            <sz val="12"/>
            <color theme="1"/>
            <rFont val="Aptos Narrow"/>
            <family val="2"/>
            <scheme val="minor"/>
          </rPr>
          <t>======
ID#AAABx2dUYE8
BCUser    (2025-08-05 03:55:50)
แก้ไข 0 ในสูตร คูณกับ จำนวนคน ต่อวัน</t>
        </r>
      </text>
    </comment>
    <comment ref="C63" authorId="0" shapeId="0" xr:uid="{00000000-0006-0000-0100-000041000000}">
      <text>
        <r>
          <rPr>
            <sz val="12"/>
            <color theme="1"/>
            <rFont val="Aptos Narrow"/>
            <family val="2"/>
            <scheme val="minor"/>
          </rPr>
          <t>======
ID#AAABx2dUX0Y
BCUser    (2025-08-05 03:55:49)
ถ้ามี wax บวกเพิ่ม 1000 บาท/วัน</t>
        </r>
      </text>
    </comment>
    <comment ref="C64" authorId="0" shapeId="0" xr:uid="{00000000-0006-0000-0100-000042000000}">
      <text>
        <r>
          <rPr>
            <sz val="12"/>
            <color theme="1"/>
            <rFont val="Aptos Narrow"/>
            <family val="2"/>
            <scheme val="minor"/>
          </rPr>
          <t>======
ID#AAABx2dUZoc
BCUser    (2025-08-05 03:55:49)
=(((x/5)/365)*วันทำงาน)</t>
        </r>
      </text>
    </comment>
    <comment ref="C65" authorId="0" shapeId="0" xr:uid="{00000000-0006-0000-0100-000043000000}">
      <text>
        <r>
          <rPr>
            <sz val="12"/>
            <color theme="1"/>
            <rFont val="Aptos Narrow"/>
            <family val="2"/>
            <scheme val="minor"/>
          </rPr>
          <t>ตจว.เพิ่ม 5 บาท/กิโลเมตร/เที่ยว
 เปลี่ยน 0 ในสูตร เป็นจำนวน กิโลเมตร</t>
        </r>
      </text>
    </comment>
    <comment ref="K65" authorId="0" shapeId="0" xr:uid="{00000000-0006-0000-0100-000044000000}">
      <text>
        <r>
          <rPr>
            <sz val="12"/>
            <color theme="1"/>
            <rFont val="Aptos Narrow"/>
            <family val="2"/>
            <scheme val="minor"/>
          </rPr>
          <t>======
ID#AAABx2dUX0Y
BCUser    (2025-08-05 03:55:49)
ถ้ามี wax บวกเพิ่ม 1000 บาท/วัน</t>
        </r>
      </text>
    </comment>
    <comment ref="K66" authorId="0" shapeId="0" xr:uid="{00000000-0006-0000-0100-000045000000}">
      <text>
        <r>
          <rPr>
            <sz val="12"/>
            <color theme="1"/>
            <rFont val="Aptos Narrow"/>
            <family val="2"/>
            <scheme val="minor"/>
          </rPr>
          <t>======
ID#AAABx2dUZoc
BCUser    (2025-08-05 03:55:49)
=(((x/5)/365)*วันทำงาน)</t>
        </r>
      </text>
    </comment>
    <comment ref="K67" authorId="0" shapeId="0" xr:uid="{00000000-0006-0000-0100-000046000000}">
      <text>
        <r>
          <rPr>
            <sz val="12"/>
            <color theme="1"/>
            <rFont val="Aptos Narrow"/>
            <family val="2"/>
            <scheme val="minor"/>
          </rPr>
          <t>ตจว.เพิ่ม 5 บาท/กิโลเมตร/เที่ยว
 เปลี่ยน 0 ในสูตร เป็นจำนวน กิโลเมตร</t>
        </r>
      </text>
    </comment>
    <comment ref="C68" authorId="0" shapeId="0" xr:uid="{00000000-0006-0000-0100-000047000000}">
      <text>
        <r>
          <rPr>
            <sz val="12"/>
            <color theme="1"/>
            <rFont val="Aptos Narrow"/>
            <family val="2"/>
            <scheme val="minor"/>
          </rPr>
          <t>ค่าจ้างซัพตามจริง (ก่อน Vat)</t>
        </r>
      </text>
    </comment>
    <comment ref="K70" authorId="0" shapeId="0" xr:uid="{00000000-0006-0000-0100-000048000000}">
      <text>
        <r>
          <rPr>
            <sz val="12"/>
            <color theme="1"/>
            <rFont val="Aptos Narrow"/>
            <family val="2"/>
            <scheme val="minor"/>
          </rPr>
          <t>ค่าจ้างซัพตามจริง (ก่อน Vat)</t>
        </r>
      </text>
    </comment>
  </commentList>
</comments>
</file>

<file path=xl/sharedStrings.xml><?xml version="1.0" encoding="utf-8"?>
<sst xmlns="http://schemas.openxmlformats.org/spreadsheetml/2006/main" count="169" uniqueCount="98">
  <si>
    <t>1 day</t>
  </si>
  <si>
    <t>ย้ายระดับเดียวกัน</t>
  </si>
  <si>
    <t>ความสูง 1-30</t>
  </si>
  <si>
    <t>7 day</t>
  </si>
  <si>
    <t>ย้ายต่างระดับ</t>
  </si>
  <si>
    <t>ความสูง 31-45</t>
  </si>
  <si>
    <t>30 day</t>
  </si>
  <si>
    <t>ย้ายต่างอาคาร</t>
  </si>
  <si>
    <t>ความสูง 45 ++</t>
  </si>
  <si>
    <t>Start installing</t>
  </si>
  <si>
    <t>Demolition</t>
  </si>
  <si>
    <t>ตำแหน่ง</t>
  </si>
  <si>
    <t>วันที่</t>
  </si>
  <si>
    <t>เวลา</t>
  </si>
  <si>
    <t>จำนวนคน</t>
  </si>
  <si>
    <t>จำนวนแรง</t>
  </si>
  <si>
    <t>ค่าแรง</t>
  </si>
  <si>
    <t>ค่าแรงรวม</t>
  </si>
  <si>
    <t>OT</t>
  </si>
  <si>
    <t>เบี้ยเลี้ยง</t>
  </si>
  <si>
    <t>ที่พัก</t>
  </si>
  <si>
    <t>รายละเอียด</t>
  </si>
  <si>
    <t>ยอดรวม</t>
  </si>
  <si>
    <t xml:space="preserve">Worker </t>
  </si>
  <si>
    <t>Foreman</t>
  </si>
  <si>
    <t xml:space="preserve">Driver </t>
  </si>
  <si>
    <t>Driver</t>
  </si>
  <si>
    <t>ยอดรวม (พขร)</t>
  </si>
  <si>
    <t xml:space="preserve"> ประเภท</t>
  </si>
  <si>
    <t>ระยะเวลา</t>
  </si>
  <si>
    <t>จำนวน</t>
  </si>
  <si>
    <t>ราคา/กระเช้า</t>
  </si>
  <si>
    <t>ราคาอื่น</t>
  </si>
  <si>
    <t>ย้ายกระเช้า</t>
  </si>
  <si>
    <t>ความสูง</t>
  </si>
  <si>
    <t>ราคารวม</t>
  </si>
  <si>
    <t>1 วัน</t>
  </si>
  <si>
    <t>7 วัน</t>
  </si>
  <si>
    <t>Other expenses</t>
  </si>
  <si>
    <t>ค่าเช่าเครื่องจักรและอุปกรณ์</t>
  </si>
  <si>
    <t xml:space="preserve">ค่าน้ำยาและวัสดุอุปกรณ์ </t>
  </si>
  <si>
    <t>ค่าจ้าง supplier</t>
  </si>
  <si>
    <t>อื่นๆ (ระบุเพิ่มเติม)</t>
  </si>
  <si>
    <t>30 วัน</t>
  </si>
  <si>
    <t>จำนวน (คืน) :</t>
  </si>
  <si>
    <t>จำนวน (วัน) :</t>
  </si>
  <si>
    <t>จำนวนรถ (คัน) :</t>
  </si>
  <si>
    <t>ระยะทาง ตจว. (km) :</t>
  </si>
  <si>
    <t>เจ้าหน้าที่ จป.</t>
  </si>
  <si>
    <t>ค่าเดินทาง จป.</t>
  </si>
  <si>
    <t>จำนวนรวมทั้งสิ้น</t>
  </si>
  <si>
    <t>ค่าใช้จ่ายรวม จป.</t>
  </si>
  <si>
    <t>Standrad Cost</t>
  </si>
  <si>
    <t xml:space="preserve"> ราคาขายเริ่มต้น</t>
  </si>
  <si>
    <t>บาท (ก่อน Vat)</t>
  </si>
  <si>
    <t>ราคารื้อถอน</t>
  </si>
  <si>
    <t>Total Sale</t>
  </si>
  <si>
    <t>บาท</t>
  </si>
  <si>
    <t>เบี้ยเลี้ยง ตจว</t>
  </si>
  <si>
    <t>OT รวม</t>
  </si>
  <si>
    <t>ค่าจ้าง จป</t>
  </si>
  <si>
    <t>บาท/งาน/วัน</t>
  </si>
  <si>
    <t>ค่าเสื่อมอุปกรณ์</t>
  </si>
  <si>
    <t>บาท/ Order</t>
  </si>
  <si>
    <t xml:space="preserve">ค่าน้ำมันและค่าเสื่อมรถยนต์ </t>
  </si>
  <si>
    <t>บาท/Order/ตจว+5/KM</t>
  </si>
  <si>
    <t>กรอกราคาตามจริง</t>
  </si>
  <si>
    <t>ต้นทุนทางตรง</t>
  </si>
  <si>
    <t>ค่าโฆษณาการตลาด (3%)</t>
  </si>
  <si>
    <t>ค่าบริหารจัดการ (50%)</t>
  </si>
  <si>
    <t>ค่า Commission ภายใน (5%)</t>
  </si>
  <si>
    <t>ค่า Commission ภายนอก</t>
  </si>
  <si>
    <t>ต้นทุนทางอ้อม</t>
  </si>
  <si>
    <t>ต้นทุนรวม</t>
  </si>
  <si>
    <t xml:space="preserve"> Net Profit Margin Ratio %</t>
  </si>
  <si>
    <t>กำไรสุทธิ</t>
  </si>
  <si>
    <t>หมายเหตุ :</t>
  </si>
  <si>
    <t>กำไร Actual cost มากกว่า 5%  จึงจะทำจ่ายค่า commission</t>
  </si>
  <si>
    <t>Billing Note</t>
  </si>
  <si>
    <t>No</t>
  </si>
  <si>
    <t xml:space="preserve">Description </t>
  </si>
  <si>
    <t>Quantity</t>
  </si>
  <si>
    <t>Unit</t>
  </si>
  <si>
    <t>Unit Price</t>
  </si>
  <si>
    <t>Total Amoun</t>
  </si>
  <si>
    <t>commission</t>
  </si>
  <si>
    <t>07.30-16.30</t>
  </si>
  <si>
    <t>Actual cost</t>
  </si>
  <si>
    <t xml:space="preserve">Total Worker </t>
  </si>
  <si>
    <t xml:space="preserve">Total Foreman </t>
  </si>
  <si>
    <t xml:space="preserve">Total Driver </t>
  </si>
  <si>
    <t>Total</t>
  </si>
  <si>
    <t xml:space="preserve">* Category.* </t>
  </si>
  <si>
    <t xml:space="preserve"> Description </t>
  </si>
  <si>
    <t>Cash</t>
  </si>
  <si>
    <t>Bank transfer</t>
  </si>
  <si>
    <t>Cashier's check</t>
  </si>
  <si>
    <t>หมายเหตุ :  กำไร Actual cost มากกว่า 5%  จึงจะทำจ่ายค่า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</si>
</sst>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2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DB Sathorn X"/>
    </font>
    <font>
      <sz val="11"/>
      <name val="Calibri"/>
      <family val="2"/>
    </font>
    <font>
      <b/>
      <sz val="14"/>
      <color rgb="FFC00000"/>
      <name val="DB Sathorn X"/>
    </font>
    <font>
      <sz val="14"/>
      <color rgb="FFC00000"/>
      <name val="DB Sathorn X"/>
    </font>
    <font>
      <sz val="12"/>
      <color rgb="FFFF0000"/>
      <name val="Aptos Narrow"/>
      <family val="2"/>
      <scheme val="minor"/>
    </font>
    <font>
      <b/>
      <sz val="14"/>
      <color theme="1"/>
      <name val="DB Sathorn X"/>
      <charset val="222"/>
    </font>
    <font>
      <sz val="10"/>
      <color rgb="FF1F1F1F"/>
      <name val="Aptos"/>
    </font>
    <font>
      <b/>
      <sz val="10"/>
      <color rgb="FF17365D"/>
      <name val="Aptos"/>
    </font>
    <font>
      <b/>
      <sz val="10"/>
      <color rgb="FF7F6000"/>
      <name val="Aptos"/>
    </font>
    <font>
      <b/>
      <sz val="16"/>
      <color rgb="FFFFFFFF"/>
      <name val="Aptos Display"/>
    </font>
    <font>
      <b/>
      <sz val="10"/>
      <color rgb="FFFFFFFF"/>
      <name val="Aptos"/>
    </font>
    <font>
      <b/>
      <sz val="11"/>
      <color rgb="FF17365D"/>
      <name val="Aptos"/>
    </font>
    <font>
      <b/>
      <sz val="15"/>
      <color rgb="FFFFFFFF"/>
      <name val="Aptos Display"/>
    </font>
    <font>
      <sz val="11"/>
      <color rgb="FFC00000"/>
      <name val="DB Sathorn X"/>
    </font>
    <font>
      <b/>
      <sz val="10"/>
      <color rgb="FF1F1F1F"/>
      <name val="Aptos"/>
      <family val="2"/>
    </font>
    <font>
      <b/>
      <sz val="12"/>
      <color theme="1"/>
      <name val="Aptos Narrow"/>
      <family val="2"/>
      <charset val="222"/>
      <scheme val="minor"/>
    </font>
    <font>
      <b/>
      <sz val="10"/>
      <color rgb="FF17365D"/>
      <name val="Aptos"/>
      <family val="2"/>
    </font>
    <font>
      <b/>
      <sz val="11"/>
      <color rgb="FF17365D"/>
      <name val="Aptos"/>
      <family val="2"/>
    </font>
    <font>
      <b/>
      <sz val="10"/>
      <color rgb="FFFFFFFF"/>
      <name val="Aptos"/>
      <family val="2"/>
    </font>
    <font>
      <sz val="10"/>
      <color rgb="FFFF0000"/>
      <name val="Aptos"/>
      <family val="2"/>
    </font>
  </fonts>
  <fills count="2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rgb="FFDEEAF6"/>
      </patternFill>
    </fill>
    <fill>
      <patternFill patternType="solid">
        <fgColor theme="3" tint="0.89999084444715716"/>
        <bgColor rgb="FFD8D8D8"/>
      </patternFill>
    </fill>
    <fill>
      <patternFill patternType="solid">
        <fgColor theme="9" tint="0.79998168889431442"/>
        <bgColor rgb="FFDEEAF6"/>
      </patternFill>
    </fill>
    <fill>
      <patternFill patternType="solid">
        <fgColor rgb="FFFF5050"/>
        <bgColor rgb="FFA5A5A5"/>
      </patternFill>
    </fill>
    <fill>
      <patternFill patternType="solid">
        <fgColor rgb="FFFF5050"/>
        <bgColor rgb="FFDEEAF6"/>
      </patternFill>
    </fill>
    <fill>
      <patternFill patternType="solid">
        <fgColor rgb="FFFF5050"/>
        <bgColor rgb="FFD8D8D8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AF3F8"/>
      </patternFill>
    </fill>
    <fill>
      <patternFill patternType="solid">
        <fgColor rgb="FFF2F2F2"/>
      </patternFill>
    </fill>
    <fill>
      <patternFill patternType="solid">
        <fgColor rgb="FFD9E1F2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medium">
        <color rgb="FF17365D"/>
      </top>
      <bottom style="medium">
        <color rgb="FF17365D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 style="thin">
        <color rgb="FFB7C9D6"/>
      </right>
      <top/>
      <bottom/>
      <diagonal/>
    </border>
    <border>
      <left style="thin">
        <color rgb="FFB7C9D6"/>
      </left>
      <right style="thin">
        <color rgb="FFB7C9D6"/>
      </right>
      <top/>
      <bottom style="medium">
        <color rgb="FF17365D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/>
      <diagonal/>
    </border>
  </borders>
  <cellStyleXfs count="5">
    <xf numFmtId="0" fontId="0" fillId="0" borderId="0"/>
    <xf numFmtId="43" fontId="1" fillId="0" borderId="0"/>
    <xf numFmtId="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2" fillId="0" borderId="0" xfId="0" applyFont="1" applyAlignment="1">
      <alignment horizontal="right"/>
    </xf>
    <xf numFmtId="43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3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9" fontId="5" fillId="12" borderId="1" xfId="2" applyFont="1" applyFill="1" applyBorder="1" applyAlignment="1">
      <alignment horizontal="center"/>
    </xf>
    <xf numFmtId="0" fontId="9" fillId="17" borderId="16" xfId="0" applyFont="1" applyFill="1" applyBorder="1" applyAlignment="1">
      <alignment horizontal="right" vertical="center"/>
    </xf>
    <xf numFmtId="3" fontId="10" fillId="18" borderId="16" xfId="0" applyNumberFormat="1" applyFont="1" applyFill="1" applyBorder="1" applyAlignment="1">
      <alignment horizontal="left" vertical="center"/>
    </xf>
    <xf numFmtId="0" fontId="0" fillId="16" borderId="16" xfId="0" applyFill="1" applyBorder="1" applyAlignment="1">
      <alignment horizontal="right" vertical="center"/>
    </xf>
    <xf numFmtId="0" fontId="9" fillId="17" borderId="16" xfId="0" applyFont="1" applyFill="1" applyBorder="1" applyAlignment="1">
      <alignment horizontal="left" vertical="center"/>
    </xf>
    <xf numFmtId="3" fontId="10" fillId="18" borderId="16" xfId="0" applyNumberFormat="1" applyFont="1" applyFill="1" applyBorder="1" applyAlignment="1">
      <alignment horizontal="right" vertical="center"/>
    </xf>
    <xf numFmtId="43" fontId="12" fillId="20" borderId="16" xfId="0" applyNumberFormat="1" applyFont="1" applyFill="1" applyBorder="1" applyAlignment="1">
      <alignment horizontal="center" vertical="center" wrapText="1"/>
    </xf>
    <xf numFmtId="0" fontId="12" fillId="20" borderId="16" xfId="0" applyFont="1" applyFill="1" applyBorder="1" applyAlignment="1">
      <alignment horizontal="center" vertical="center" wrapText="1"/>
    </xf>
    <xf numFmtId="43" fontId="9" fillId="21" borderId="16" xfId="0" applyNumberFormat="1" applyFont="1" applyFill="1" applyBorder="1" applyAlignment="1">
      <alignment horizontal="left" vertical="center" wrapText="1"/>
    </xf>
    <xf numFmtId="0" fontId="9" fillId="18" borderId="16" xfId="0" applyFont="1" applyFill="1" applyBorder="1" applyAlignment="1">
      <alignment horizontal="right" vertical="center"/>
    </xf>
    <xf numFmtId="4" fontId="9" fillId="21" borderId="16" xfId="0" applyNumberFormat="1" applyFont="1" applyFill="1" applyBorder="1" applyAlignment="1">
      <alignment horizontal="right" vertical="center"/>
    </xf>
    <xf numFmtId="4" fontId="9" fillId="18" borderId="16" xfId="0" applyNumberFormat="1" applyFont="1" applyFill="1" applyBorder="1" applyAlignment="1">
      <alignment horizontal="right" vertical="center"/>
    </xf>
    <xf numFmtId="4" fontId="9" fillId="21" borderId="16" xfId="0" applyNumberFormat="1" applyFont="1" applyFill="1" applyBorder="1" applyAlignment="1">
      <alignment horizontal="left" vertical="center" wrapText="1"/>
    </xf>
    <xf numFmtId="0" fontId="9" fillId="21" borderId="16" xfId="0" applyFont="1" applyFill="1" applyBorder="1" applyAlignment="1">
      <alignment horizontal="right" vertical="center"/>
    </xf>
    <xf numFmtId="0" fontId="0" fillId="0" borderId="16" xfId="0" applyBorder="1" applyAlignment="1">
      <alignment horizontal="left" vertical="center" wrapText="1"/>
    </xf>
    <xf numFmtId="15" fontId="2" fillId="0" borderId="16" xfId="0" applyNumberFormat="1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8" fillId="18" borderId="16" xfId="0" applyFont="1" applyFill="1" applyBorder="1" applyAlignment="1">
      <alignment horizontal="right" vertical="center"/>
    </xf>
    <xf numFmtId="4" fontId="8" fillId="5" borderId="16" xfId="0" applyNumberFormat="1" applyFont="1" applyFill="1" applyBorder="1" applyAlignment="1">
      <alignment horizontal="right" vertical="center"/>
    </xf>
    <xf numFmtId="4" fontId="8" fillId="18" borderId="16" xfId="0" applyNumberFormat="1" applyFont="1" applyFill="1" applyBorder="1" applyAlignment="1">
      <alignment horizontal="right" vertical="center"/>
    </xf>
    <xf numFmtId="4" fontId="8" fillId="0" borderId="16" xfId="0" applyNumberFormat="1" applyFont="1" applyBorder="1" applyAlignment="1">
      <alignment horizontal="right" vertical="center"/>
    </xf>
    <xf numFmtId="4" fontId="8" fillId="6" borderId="16" xfId="0" applyNumberFormat="1" applyFont="1" applyFill="1" applyBorder="1" applyAlignment="1">
      <alignment horizontal="right" vertical="center"/>
    </xf>
    <xf numFmtId="4" fontId="2" fillId="0" borderId="16" xfId="0" applyNumberFormat="1" applyFont="1" applyBorder="1" applyAlignment="1">
      <alignment horizontal="left" vertical="center" wrapText="1"/>
    </xf>
    <xf numFmtId="0" fontId="2" fillId="0" borderId="16" xfId="0" applyFont="1" applyBorder="1" applyAlignment="1">
      <alignment horizontal="right" vertical="center"/>
    </xf>
    <xf numFmtId="4" fontId="2" fillId="5" borderId="16" xfId="0" applyNumberFormat="1" applyFont="1" applyFill="1" applyBorder="1" applyAlignment="1">
      <alignment horizontal="right" vertical="center"/>
    </xf>
    <xf numFmtId="0" fontId="9" fillId="22" borderId="17" xfId="0" applyFont="1" applyFill="1" applyBorder="1" applyAlignment="1">
      <alignment horizontal="left" vertical="center" wrapText="1"/>
    </xf>
    <xf numFmtId="43" fontId="9" fillId="22" borderId="17" xfId="0" applyNumberFormat="1" applyFont="1" applyFill="1" applyBorder="1" applyAlignment="1">
      <alignment horizontal="left" vertical="center" wrapText="1"/>
    </xf>
    <xf numFmtId="0" fontId="9" fillId="22" borderId="17" xfId="0" applyFont="1" applyFill="1" applyBorder="1" applyAlignment="1">
      <alignment horizontal="right" vertical="center"/>
    </xf>
    <xf numFmtId="4" fontId="9" fillId="22" borderId="17" xfId="0" applyNumberFormat="1" applyFont="1" applyFill="1" applyBorder="1" applyAlignment="1">
      <alignment horizontal="right" vertical="center"/>
    </xf>
    <xf numFmtId="4" fontId="9" fillId="22" borderId="17" xfId="0" applyNumberFormat="1" applyFont="1" applyFill="1" applyBorder="1" applyAlignment="1">
      <alignment horizontal="left" vertical="center" wrapText="1"/>
    </xf>
    <xf numFmtId="0" fontId="9" fillId="21" borderId="16" xfId="0" applyFont="1" applyFill="1" applyBorder="1" applyAlignment="1">
      <alignment horizontal="left" vertical="center" wrapText="1"/>
    </xf>
    <xf numFmtId="43" fontId="2" fillId="2" borderId="16" xfId="0" applyNumberFormat="1" applyFont="1" applyFill="1" applyBorder="1" applyAlignment="1">
      <alignment horizontal="left" vertical="center" wrapText="1"/>
    </xf>
    <xf numFmtId="4" fontId="2" fillId="8" borderId="16" xfId="0" applyNumberFormat="1" applyFont="1" applyFill="1" applyBorder="1" applyAlignment="1">
      <alignment horizontal="right" vertical="center"/>
    </xf>
    <xf numFmtId="4" fontId="2" fillId="0" borderId="16" xfId="0" applyNumberFormat="1" applyFont="1" applyBorder="1" applyAlignment="1">
      <alignment horizontal="right" vertical="center"/>
    </xf>
    <xf numFmtId="4" fontId="2" fillId="6" borderId="16" xfId="0" applyNumberFormat="1" applyFont="1" applyFill="1" applyBorder="1" applyAlignment="1">
      <alignment horizontal="right" vertical="center"/>
    </xf>
    <xf numFmtId="164" fontId="9" fillId="22" borderId="17" xfId="0" applyNumberFormat="1" applyFont="1" applyFill="1" applyBorder="1" applyAlignment="1">
      <alignment horizontal="right" vertical="center"/>
    </xf>
    <xf numFmtId="0" fontId="13" fillId="23" borderId="17" xfId="0" applyFont="1" applyFill="1" applyBorder="1" applyAlignment="1">
      <alignment horizontal="left" vertical="center" wrapText="1"/>
    </xf>
    <xf numFmtId="164" fontId="13" fillId="23" borderId="17" xfId="0" applyNumberFormat="1" applyFont="1" applyFill="1" applyBorder="1" applyAlignment="1">
      <alignment horizontal="right" vertical="center"/>
    </xf>
    <xf numFmtId="4" fontId="13" fillId="23" borderId="17" xfId="0" applyNumberFormat="1" applyFont="1" applyFill="1" applyBorder="1" applyAlignment="1">
      <alignment horizontal="right" vertical="center"/>
    </xf>
    <xf numFmtId="4" fontId="13" fillId="23" borderId="17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43" fontId="12" fillId="20" borderId="16" xfId="0" applyNumberFormat="1" applyFont="1" applyFill="1" applyBorder="1" applyAlignment="1">
      <alignment horizontal="left" vertical="center" wrapText="1"/>
    </xf>
    <xf numFmtId="43" fontId="12" fillId="20" borderId="16" xfId="0" applyNumberFormat="1" applyFont="1" applyFill="1" applyBorder="1" applyAlignment="1">
      <alignment horizontal="right" vertical="center"/>
    </xf>
    <xf numFmtId="0" fontId="12" fillId="20" borderId="16" xfId="0" applyFont="1" applyFill="1" applyBorder="1" applyAlignment="1">
      <alignment horizontal="right" vertical="center"/>
    </xf>
    <xf numFmtId="0" fontId="8" fillId="7" borderId="16" xfId="0" applyFont="1" applyFill="1" applyBorder="1" applyAlignment="1">
      <alignment horizontal="left" vertical="center" wrapText="1"/>
    </xf>
    <xf numFmtId="43" fontId="2" fillId="0" borderId="16" xfId="1" applyFont="1" applyBorder="1" applyAlignment="1">
      <alignment horizontal="left" vertical="center" wrapText="1"/>
    </xf>
    <xf numFmtId="43" fontId="3" fillId="0" borderId="16" xfId="1" applyFont="1" applyBorder="1" applyAlignment="1">
      <alignment horizontal="left" vertical="center" wrapText="1"/>
    </xf>
    <xf numFmtId="43" fontId="2" fillId="0" borderId="16" xfId="1" applyFont="1" applyBorder="1" applyAlignment="1">
      <alignment horizontal="right" vertical="center"/>
    </xf>
    <xf numFmtId="43" fontId="8" fillId="0" borderId="16" xfId="1" applyFont="1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4" fontId="2" fillId="0" borderId="16" xfId="1" applyNumberFormat="1" applyFont="1" applyBorder="1" applyAlignment="1">
      <alignment horizontal="right" vertical="center"/>
    </xf>
    <xf numFmtId="4" fontId="8" fillId="0" borderId="16" xfId="1" applyNumberFormat="1" applyFont="1" applyBorder="1" applyAlignment="1">
      <alignment horizontal="right" vertical="center"/>
    </xf>
    <xf numFmtId="4" fontId="4" fillId="0" borderId="16" xfId="0" applyNumberFormat="1" applyFont="1" applyBorder="1" applyAlignment="1">
      <alignment horizontal="left" vertical="center" wrapText="1"/>
    </xf>
    <xf numFmtId="4" fontId="4" fillId="0" borderId="16" xfId="0" applyNumberFormat="1" applyFont="1" applyBorder="1" applyAlignment="1">
      <alignment horizontal="right" vertical="center"/>
    </xf>
    <xf numFmtId="43" fontId="2" fillId="0" borderId="16" xfId="0" applyNumberFormat="1" applyFont="1" applyBorder="1" applyAlignment="1">
      <alignment horizontal="right" vertical="center"/>
    </xf>
    <xf numFmtId="0" fontId="4" fillId="0" borderId="16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right" vertical="center"/>
    </xf>
    <xf numFmtId="4" fontId="5" fillId="0" borderId="16" xfId="0" applyNumberFormat="1" applyFont="1" applyBorder="1" applyAlignment="1">
      <alignment horizontal="right" vertical="center"/>
    </xf>
    <xf numFmtId="4" fontId="0" fillId="0" borderId="16" xfId="0" applyNumberFormat="1" applyBorder="1" applyAlignment="1">
      <alignment horizontal="left" vertical="center" wrapText="1"/>
    </xf>
    <xf numFmtId="4" fontId="0" fillId="0" borderId="16" xfId="0" applyNumberFormat="1" applyBorder="1" applyAlignment="1">
      <alignment horizontal="right" vertical="center"/>
    </xf>
    <xf numFmtId="43" fontId="5" fillId="0" borderId="16" xfId="0" applyNumberFormat="1" applyFont="1" applyBorder="1" applyAlignment="1">
      <alignment horizontal="right" vertical="center"/>
    </xf>
    <xf numFmtId="43" fontId="9" fillId="22" borderId="17" xfId="1" applyFont="1" applyFill="1" applyBorder="1" applyAlignment="1">
      <alignment horizontal="left" vertical="center" wrapText="1"/>
    </xf>
    <xf numFmtId="43" fontId="9" fillId="22" borderId="17" xfId="1" applyFont="1" applyFill="1" applyBorder="1" applyAlignment="1">
      <alignment horizontal="right" vertical="center"/>
    </xf>
    <xf numFmtId="4" fontId="9" fillId="22" borderId="17" xfId="1" applyNumberFormat="1" applyFont="1" applyFill="1" applyBorder="1" applyAlignment="1">
      <alignment horizontal="right" vertical="center"/>
    </xf>
    <xf numFmtId="164" fontId="8" fillId="11" borderId="16" xfId="0" applyNumberFormat="1" applyFont="1" applyFill="1" applyBorder="1" applyAlignment="1">
      <alignment horizontal="right" vertical="center"/>
    </xf>
    <xf numFmtId="43" fontId="9" fillId="22" borderId="17" xfId="0" applyNumberFormat="1" applyFont="1" applyFill="1" applyBorder="1" applyAlignment="1">
      <alignment horizontal="right" vertical="center"/>
    </xf>
    <xf numFmtId="43" fontId="8" fillId="18" borderId="16" xfId="1" applyFont="1" applyFill="1" applyBorder="1" applyAlignment="1">
      <alignment horizontal="right" vertical="center"/>
    </xf>
    <xf numFmtId="4" fontId="8" fillId="18" borderId="16" xfId="1" applyNumberFormat="1" applyFont="1" applyFill="1" applyBorder="1" applyAlignment="1">
      <alignment horizontal="right" vertical="center"/>
    </xf>
    <xf numFmtId="43" fontId="13" fillId="23" borderId="17" xfId="1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4" fontId="8" fillId="18" borderId="16" xfId="0" applyNumberFormat="1" applyFont="1" applyFill="1" applyBorder="1" applyAlignment="1">
      <alignment horizontal="left" vertical="center" wrapText="1"/>
    </xf>
    <xf numFmtId="0" fontId="0" fillId="0" borderId="16" xfId="0" applyBorder="1" applyAlignment="1">
      <alignment horizontal="right" vertical="center" wrapText="1"/>
    </xf>
    <xf numFmtId="4" fontId="0" fillId="0" borderId="16" xfId="0" applyNumberFormat="1" applyBorder="1" applyAlignment="1">
      <alignment horizontal="right" vertical="center" wrapText="1"/>
    </xf>
    <xf numFmtId="4" fontId="8" fillId="0" borderId="16" xfId="0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0" fontId="0" fillId="0" borderId="2" xfId="0" applyBorder="1"/>
    <xf numFmtId="4" fontId="8" fillId="18" borderId="16" xfId="0" applyNumberFormat="1" applyFont="1" applyFill="1" applyBorder="1" applyAlignment="1">
      <alignment horizontal="right" vertical="center"/>
    </xf>
    <xf numFmtId="4" fontId="0" fillId="0" borderId="16" xfId="0" applyNumberFormat="1" applyBorder="1" applyAlignment="1">
      <alignment horizontal="left" vertical="center" wrapText="1"/>
    </xf>
    <xf numFmtId="4" fontId="0" fillId="0" borderId="16" xfId="0" applyNumberFormat="1" applyBorder="1" applyAlignment="1">
      <alignment horizontal="right" vertical="center"/>
    </xf>
    <xf numFmtId="43" fontId="8" fillId="0" borderId="16" xfId="0" applyNumberFormat="1" applyFont="1" applyBorder="1" applyAlignment="1">
      <alignment horizontal="right" vertical="center"/>
    </xf>
    <xf numFmtId="0" fontId="0" fillId="0" borderId="16" xfId="0" applyBorder="1" applyAlignment="1">
      <alignment horizontal="left" vertical="center" wrapText="1"/>
    </xf>
    <xf numFmtId="0" fontId="9" fillId="22" borderId="17" xfId="0" applyFont="1" applyFill="1" applyBorder="1" applyAlignment="1">
      <alignment horizontal="left" vertical="center" wrapText="1"/>
    </xf>
    <xf numFmtId="43" fontId="9" fillId="21" borderId="16" xfId="0" applyNumberFormat="1" applyFont="1" applyFill="1" applyBorder="1" applyAlignment="1">
      <alignment horizontal="left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19" borderId="7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19" borderId="8" xfId="0" applyFont="1" applyFill="1" applyBorder="1" applyAlignment="1">
      <alignment horizontal="center" vertical="center" wrapText="1"/>
    </xf>
    <xf numFmtId="0" fontId="11" fillId="19" borderId="0" xfId="0" applyFont="1" applyFill="1" applyAlignment="1">
      <alignment horizontal="center" vertical="center" wrapText="1"/>
    </xf>
    <xf numFmtId="0" fontId="11" fillId="19" borderId="10" xfId="0" applyFont="1" applyFill="1" applyBorder="1" applyAlignment="1">
      <alignment horizontal="center" vertical="center" wrapText="1"/>
    </xf>
    <xf numFmtId="0" fontId="11" fillId="19" borderId="11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 wrapText="1"/>
    </xf>
    <xf numFmtId="0" fontId="11" fillId="19" borderId="12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13" fillId="23" borderId="17" xfId="0" applyFont="1" applyFill="1" applyBorder="1" applyAlignment="1">
      <alignment horizontal="left" vertical="center" wrapText="1"/>
    </xf>
    <xf numFmtId="43" fontId="8" fillId="9" borderId="16" xfId="0" applyNumberFormat="1" applyFont="1" applyFill="1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43" fontId="7" fillId="0" borderId="13" xfId="0" applyNumberFormat="1" applyFont="1" applyBorder="1" applyAlignment="1">
      <alignment horizontal="center"/>
    </xf>
    <xf numFmtId="0" fontId="14" fillId="19" borderId="16" xfId="0" applyFont="1" applyFill="1" applyBorder="1" applyAlignment="1">
      <alignment horizontal="center" vertical="center"/>
    </xf>
    <xf numFmtId="0" fontId="9" fillId="18" borderId="18" xfId="0" applyFont="1" applyFill="1" applyBorder="1" applyAlignment="1">
      <alignment horizontal="center" vertical="center" wrapText="1"/>
    </xf>
    <xf numFmtId="0" fontId="9" fillId="18" borderId="19" xfId="0" applyFont="1" applyFill="1" applyBorder="1" applyAlignment="1">
      <alignment horizontal="center" vertical="center" wrapText="1"/>
    </xf>
    <xf numFmtId="0" fontId="9" fillId="18" borderId="20" xfId="0" applyFont="1" applyFill="1" applyBorder="1" applyAlignment="1">
      <alignment horizontal="center" vertical="center" wrapText="1"/>
    </xf>
    <xf numFmtId="9" fontId="15" fillId="12" borderId="1" xfId="2" applyFont="1" applyFill="1" applyBorder="1" applyAlignment="1">
      <alignment horizontal="center"/>
    </xf>
    <xf numFmtId="0" fontId="6" fillId="0" borderId="0" xfId="0" applyFont="1"/>
    <xf numFmtId="43" fontId="6" fillId="0" borderId="0" xfId="0" applyNumberFormat="1" applyFont="1" applyAlignment="1">
      <alignment horizontal="center" vertical="center"/>
    </xf>
    <xf numFmtId="43" fontId="16" fillId="2" borderId="15" xfId="0" applyNumberFormat="1" applyFont="1" applyFill="1" applyBorder="1" applyAlignment="1">
      <alignment vertical="center" wrapText="1"/>
    </xf>
    <xf numFmtId="0" fontId="17" fillId="0" borderId="5" xfId="0" applyFont="1" applyBorder="1"/>
    <xf numFmtId="43" fontId="16" fillId="10" borderId="13" xfId="0" applyNumberFormat="1" applyFont="1" applyFill="1" applyBorder="1" applyAlignment="1">
      <alignment vertical="center" wrapText="1"/>
    </xf>
    <xf numFmtId="0" fontId="17" fillId="0" borderId="6" xfId="0" applyFont="1" applyBorder="1"/>
    <xf numFmtId="43" fontId="16" fillId="2" borderId="13" xfId="0" applyNumberFormat="1" applyFont="1" applyFill="1" applyBorder="1" applyAlignment="1">
      <alignment vertical="center" wrapText="1"/>
    </xf>
    <xf numFmtId="43" fontId="16" fillId="3" borderId="13" xfId="0" applyNumberFormat="1" applyFont="1" applyFill="1" applyBorder="1" applyAlignment="1">
      <alignment vertical="center" wrapText="1"/>
    </xf>
    <xf numFmtId="43" fontId="16" fillId="4" borderId="14" xfId="0" applyNumberFormat="1" applyFont="1" applyFill="1" applyBorder="1" applyAlignment="1">
      <alignment vertical="center" wrapText="1"/>
    </xf>
    <xf numFmtId="0" fontId="17" fillId="0" borderId="3" xfId="0" applyFont="1" applyBorder="1"/>
    <xf numFmtId="43" fontId="16" fillId="0" borderId="1" xfId="0" applyNumberFormat="1" applyFont="1" applyBorder="1" applyAlignment="1">
      <alignment vertical="center" wrapText="1"/>
    </xf>
    <xf numFmtId="0" fontId="17" fillId="0" borderId="2" xfId="0" applyFont="1" applyBorder="1"/>
    <xf numFmtId="43" fontId="16" fillId="13" borderId="15" xfId="0" applyNumberFormat="1" applyFont="1" applyFill="1" applyBorder="1" applyAlignment="1">
      <alignment vertical="center" wrapText="1"/>
    </xf>
    <xf numFmtId="43" fontId="16" fillId="15" borderId="13" xfId="0" applyNumberFormat="1" applyFont="1" applyFill="1" applyBorder="1" applyAlignment="1">
      <alignment vertical="center" wrapText="1"/>
    </xf>
    <xf numFmtId="43" fontId="16" fillId="13" borderId="13" xfId="0" applyNumberFormat="1" applyFont="1" applyFill="1" applyBorder="1" applyAlignment="1">
      <alignment vertical="center" wrapText="1"/>
    </xf>
    <xf numFmtId="43" fontId="16" fillId="14" borderId="13" xfId="0" applyNumberFormat="1" applyFont="1" applyFill="1" applyBorder="1" applyAlignment="1">
      <alignment vertical="center" wrapText="1"/>
    </xf>
    <xf numFmtId="43" fontId="18" fillId="21" borderId="16" xfId="0" applyNumberFormat="1" applyFont="1" applyFill="1" applyBorder="1" applyAlignment="1">
      <alignment horizontal="left" vertical="center" wrapText="1"/>
    </xf>
    <xf numFmtId="43" fontId="18" fillId="22" borderId="17" xfId="0" applyNumberFormat="1" applyFont="1" applyFill="1" applyBorder="1" applyAlignment="1">
      <alignment horizontal="left" vertical="center" wrapText="1"/>
    </xf>
    <xf numFmtId="43" fontId="19" fillId="23" borderId="17" xfId="0" applyNumberFormat="1" applyFont="1" applyFill="1" applyBorder="1" applyAlignment="1">
      <alignment horizontal="left" vertical="center" wrapText="1"/>
    </xf>
    <xf numFmtId="0" fontId="20" fillId="20" borderId="16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4" fillId="19" borderId="16" xfId="0" applyFont="1" applyFill="1" applyBorder="1" applyAlignment="1">
      <alignment vertical="center"/>
    </xf>
    <xf numFmtId="0" fontId="14" fillId="19" borderId="21" xfId="0" applyFont="1" applyFill="1" applyBorder="1" applyAlignment="1">
      <alignment horizontal="center" vertical="center"/>
    </xf>
    <xf numFmtId="0" fontId="14" fillId="19" borderId="22" xfId="0" applyFont="1" applyFill="1" applyBorder="1" applyAlignment="1">
      <alignment horizontal="center" vertical="center"/>
    </xf>
    <xf numFmtId="4" fontId="14" fillId="19" borderId="16" xfId="0" applyNumberFormat="1" applyFont="1" applyFill="1" applyBorder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43" fontId="21" fillId="0" borderId="0" xfId="0" applyNumberFormat="1" applyFont="1" applyAlignment="1">
      <alignment horizontal="center" vertical="center" wrapText="1"/>
    </xf>
  </cellXfs>
  <cellStyles count="5">
    <cellStyle name="Comma" xfId="1" builtinId="3"/>
    <cellStyle name="Comma 2" xfId="3" xr:uid="{2FBAC065-F470-4FF3-B513-34889173584F}"/>
    <cellStyle name="Normal" xfId="0" builtinId="0"/>
    <cellStyle name="Percent" xfId="2" builtinId="5"/>
    <cellStyle name="Percent 2" xfId="4" xr:uid="{63868EC5-6D80-4EFA-BC9A-74A1721F00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31</xdr:row>
      <xdr:rowOff>95250</xdr:rowOff>
    </xdr:from>
    <xdr:to>
      <xdr:col>12</xdr:col>
      <xdr:colOff>38100</xdr:colOff>
      <xdr:row>37</xdr:row>
      <xdr:rowOff>114300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49050" y="6915150"/>
          <a:ext cx="3714750" cy="13525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22</xdr:col>
      <xdr:colOff>17929</xdr:colOff>
      <xdr:row>31</xdr:row>
      <xdr:rowOff>1924</xdr:rowOff>
    </xdr:from>
    <xdr:to>
      <xdr:col>25</xdr:col>
      <xdr:colOff>8965</xdr:colOff>
      <xdr:row>36</xdr:row>
      <xdr:rowOff>69477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465553" y="6331006"/>
          <a:ext cx="3962400" cy="134950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"/>
  <sheetViews>
    <sheetView showGridLines="0" tabSelected="1" zoomScale="90" zoomScaleNormal="190" workbookViewId="0">
      <pane ySplit="1" topLeftCell="A2" activePane="bottomLeft" state="frozen"/>
      <selection pane="bottomLeft" activeCell="D15" sqref="D15"/>
    </sheetView>
  </sheetViews>
  <sheetFormatPr defaultColWidth="11.19921875" defaultRowHeight="15.6"/>
  <cols>
    <col min="1" max="1" width="4" customWidth="1"/>
    <col min="2" max="2" width="15" customWidth="1"/>
    <col min="3" max="3" width="4" customWidth="1"/>
    <col min="4" max="4" width="18" bestFit="1" customWidth="1"/>
    <col min="5" max="5" width="13" customWidth="1"/>
    <col min="6" max="6" width="4" customWidth="1"/>
    <col min="7" max="7" width="18" bestFit="1" customWidth="1"/>
    <col min="8" max="8" width="13" customWidth="1"/>
  </cols>
  <sheetData>
    <row r="1" spans="1:8" ht="10.050000000000001" customHeight="1"/>
    <row r="2" spans="1:8" ht="24" customHeight="1">
      <c r="A2" s="8" t="s">
        <v>0</v>
      </c>
      <c r="B2" s="9">
        <v>15000</v>
      </c>
      <c r="C2" s="10"/>
      <c r="D2" s="11" t="s">
        <v>1</v>
      </c>
      <c r="E2" s="12">
        <v>4000</v>
      </c>
      <c r="F2" s="10"/>
      <c r="G2" s="11" t="s">
        <v>2</v>
      </c>
      <c r="H2" s="12">
        <v>1000</v>
      </c>
    </row>
    <row r="3" spans="1:8" ht="24" customHeight="1">
      <c r="A3" s="8" t="s">
        <v>3</v>
      </c>
      <c r="B3" s="9">
        <v>18000</v>
      </c>
      <c r="C3" s="10"/>
      <c r="D3" s="11" t="s">
        <v>4</v>
      </c>
      <c r="E3" s="12">
        <v>4500</v>
      </c>
      <c r="F3" s="10"/>
      <c r="G3" s="11" t="s">
        <v>5</v>
      </c>
      <c r="H3" s="12">
        <v>2000</v>
      </c>
    </row>
    <row r="4" spans="1:8" ht="24" customHeight="1">
      <c r="A4" s="8" t="s">
        <v>6</v>
      </c>
      <c r="B4" s="9">
        <v>21000</v>
      </c>
      <c r="C4" s="10"/>
      <c r="D4" s="11" t="s">
        <v>7</v>
      </c>
      <c r="E4" s="12">
        <v>5000</v>
      </c>
      <c r="F4" s="10"/>
      <c r="G4" s="11" t="s">
        <v>8</v>
      </c>
      <c r="H4" s="12">
        <v>3000</v>
      </c>
    </row>
  </sheetData>
  <pageMargins left="0.25" right="0.25" top="0.4" bottom="0.4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Y79"/>
  <sheetViews>
    <sheetView showGridLines="0" zoomScale="55" zoomScaleNormal="55" workbookViewId="0">
      <pane xSplit="1" ySplit="7" topLeftCell="B51" activePane="bottomRight" state="frozen"/>
      <selection pane="topRight"/>
      <selection pane="bottomLeft"/>
      <selection pane="bottomRight" activeCell="I58" sqref="I58"/>
    </sheetView>
  </sheetViews>
  <sheetFormatPr defaultRowHeight="15.6"/>
  <cols>
    <col min="1" max="1" width="12" bestFit="1" customWidth="1"/>
    <col min="2" max="2" width="13" customWidth="1"/>
    <col min="3" max="3" width="18" customWidth="1"/>
    <col min="4" max="4" width="11" bestFit="1" customWidth="1"/>
    <col min="5" max="5" width="17.8984375" customWidth="1"/>
    <col min="6" max="6" width="12" customWidth="1"/>
    <col min="7" max="7" width="14" customWidth="1"/>
    <col min="8" max="8" width="13" bestFit="1" customWidth="1"/>
    <col min="9" max="10" width="13" customWidth="1"/>
    <col min="11" max="11" width="24" bestFit="1" customWidth="1"/>
    <col min="12" max="12" width="15" customWidth="1"/>
    <col min="13" max="13" width="3" bestFit="1" customWidth="1"/>
    <col min="14" max="14" width="12" bestFit="1" customWidth="1"/>
    <col min="15" max="16" width="13" bestFit="1" customWidth="1"/>
    <col min="17" max="17" width="12" bestFit="1" customWidth="1"/>
    <col min="18" max="18" width="13" customWidth="1"/>
    <col min="19" max="19" width="12" customWidth="1"/>
    <col min="20" max="20" width="14" bestFit="1" customWidth="1"/>
    <col min="21" max="23" width="13" customWidth="1"/>
    <col min="24" max="24" width="24" bestFit="1" customWidth="1"/>
    <col min="25" max="25" width="15" bestFit="1" customWidth="1"/>
  </cols>
  <sheetData>
    <row r="3" spans="1:25" ht="19.95" customHeight="1">
      <c r="A3" s="91" t="s">
        <v>9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3"/>
      <c r="N3" s="91" t="s">
        <v>10</v>
      </c>
      <c r="O3" s="92"/>
      <c r="P3" s="92"/>
      <c r="Q3" s="92"/>
      <c r="R3" s="92"/>
      <c r="S3" s="92"/>
      <c r="T3" s="92"/>
      <c r="U3" s="92"/>
      <c r="V3" s="92"/>
      <c r="W3" s="92"/>
      <c r="X3" s="92"/>
      <c r="Y3" s="93"/>
    </row>
    <row r="4" spans="1:25" ht="19.95" customHeight="1">
      <c r="A4" s="94"/>
      <c r="B4" s="95"/>
      <c r="C4" s="95"/>
      <c r="D4" s="95"/>
      <c r="E4" s="95"/>
      <c r="F4" s="95"/>
      <c r="G4" s="95"/>
      <c r="H4" s="95"/>
      <c r="I4" s="95"/>
      <c r="J4" s="95"/>
      <c r="K4" s="95"/>
      <c r="L4" s="96"/>
      <c r="N4" s="94"/>
      <c r="O4" s="95"/>
      <c r="P4" s="95"/>
      <c r="Q4" s="95"/>
      <c r="R4" s="95"/>
      <c r="S4" s="95"/>
      <c r="T4" s="95"/>
      <c r="U4" s="95"/>
      <c r="V4" s="95"/>
      <c r="W4" s="95"/>
      <c r="X4" s="95"/>
      <c r="Y4" s="96"/>
    </row>
    <row r="5" spans="1:25" ht="19.95" customHeight="1">
      <c r="A5" s="94"/>
      <c r="B5" s="95"/>
      <c r="C5" s="95"/>
      <c r="D5" s="95"/>
      <c r="E5" s="95"/>
      <c r="F5" s="95"/>
      <c r="G5" s="95"/>
      <c r="H5" s="95"/>
      <c r="I5" s="95"/>
      <c r="J5" s="95"/>
      <c r="K5" s="95"/>
      <c r="L5" s="96"/>
      <c r="N5" s="94"/>
      <c r="O5" s="95"/>
      <c r="P5" s="95"/>
      <c r="Q5" s="95"/>
      <c r="R5" s="95"/>
      <c r="S5" s="95"/>
      <c r="T5" s="95"/>
      <c r="U5" s="95"/>
      <c r="V5" s="95"/>
      <c r="W5" s="95"/>
      <c r="X5" s="95"/>
      <c r="Y5" s="96"/>
    </row>
    <row r="6" spans="1:25" ht="19.95" customHeight="1">
      <c r="A6" s="97"/>
      <c r="B6" s="98"/>
      <c r="C6" s="98"/>
      <c r="D6" s="98"/>
      <c r="E6" s="98"/>
      <c r="F6" s="98"/>
      <c r="G6" s="98"/>
      <c r="H6" s="98"/>
      <c r="I6" s="98"/>
      <c r="J6" s="98"/>
      <c r="K6" s="98"/>
      <c r="L6" s="99"/>
      <c r="N6" s="97"/>
      <c r="O6" s="98"/>
      <c r="P6" s="98"/>
      <c r="Q6" s="98"/>
      <c r="R6" s="98"/>
      <c r="S6" s="98"/>
      <c r="T6" s="98"/>
      <c r="U6" s="98"/>
      <c r="V6" s="98"/>
      <c r="W6" s="98"/>
      <c r="X6" s="98"/>
      <c r="Y6" s="99"/>
    </row>
    <row r="7" spans="1:25" ht="31.95" customHeight="1">
      <c r="A7" s="13" t="s">
        <v>11</v>
      </c>
      <c r="B7" s="13" t="s">
        <v>12</v>
      </c>
      <c r="C7" s="13" t="s">
        <v>13</v>
      </c>
      <c r="D7" s="14" t="s">
        <v>14</v>
      </c>
      <c r="E7" s="14" t="s">
        <v>15</v>
      </c>
      <c r="F7" s="14" t="s">
        <v>16</v>
      </c>
      <c r="G7" s="13" t="s">
        <v>17</v>
      </c>
      <c r="H7" s="13" t="s">
        <v>18</v>
      </c>
      <c r="I7" s="13" t="s">
        <v>19</v>
      </c>
      <c r="J7" s="13" t="s">
        <v>20</v>
      </c>
      <c r="K7" s="13" t="s">
        <v>21</v>
      </c>
      <c r="L7" s="13" t="s">
        <v>22</v>
      </c>
      <c r="N7" s="13" t="s">
        <v>11</v>
      </c>
      <c r="O7" s="13" t="s">
        <v>12</v>
      </c>
      <c r="P7" s="13" t="s">
        <v>13</v>
      </c>
      <c r="Q7" s="14" t="s">
        <v>14</v>
      </c>
      <c r="R7" s="14" t="s">
        <v>15</v>
      </c>
      <c r="S7" s="14" t="s">
        <v>16</v>
      </c>
      <c r="T7" s="13" t="s">
        <v>17</v>
      </c>
      <c r="U7" s="13" t="s">
        <v>18</v>
      </c>
      <c r="V7" s="13" t="s">
        <v>19</v>
      </c>
      <c r="W7" s="13" t="s">
        <v>20</v>
      </c>
      <c r="X7" s="13" t="s">
        <v>21</v>
      </c>
      <c r="Y7" s="13" t="s">
        <v>22</v>
      </c>
    </row>
    <row r="8" spans="1:25" ht="17.399999999999999" customHeight="1">
      <c r="A8" s="130" t="s">
        <v>23</v>
      </c>
      <c r="B8" s="15"/>
      <c r="C8" s="110" t="s">
        <v>86</v>
      </c>
      <c r="D8" s="16">
        <v>1</v>
      </c>
      <c r="E8" s="17">
        <f>D8*L3</f>
        <v>0</v>
      </c>
      <c r="F8" s="18">
        <v>650</v>
      </c>
      <c r="G8" s="17">
        <f>F8*E8</f>
        <v>0</v>
      </c>
      <c r="H8" s="17">
        <f>F8/8*1.5*D8*1</f>
        <v>121.875</v>
      </c>
      <c r="I8" s="17">
        <f>300*D8*L46</f>
        <v>600</v>
      </c>
      <c r="J8" s="17">
        <f>250*D8*L45</f>
        <v>500</v>
      </c>
      <c r="K8" s="19"/>
      <c r="L8" s="17">
        <f>SUM(G8:J8)</f>
        <v>1221.875</v>
      </c>
      <c r="N8" s="90" t="s">
        <v>23</v>
      </c>
      <c r="O8" s="15"/>
      <c r="P8" s="110" t="s">
        <v>86</v>
      </c>
      <c r="Q8" s="20"/>
      <c r="R8" s="17">
        <f>Q8*Y3</f>
        <v>0</v>
      </c>
      <c r="S8" s="18">
        <v>650</v>
      </c>
      <c r="T8" s="17">
        <f>S8*R8</f>
        <v>0</v>
      </c>
      <c r="U8" s="17">
        <f>S8/8*1.5*Q8*0</f>
        <v>0</v>
      </c>
      <c r="V8" s="17">
        <f>300*Q8*Y2*0</f>
        <v>0</v>
      </c>
      <c r="W8" s="17">
        <f>250*Q8*Y45</f>
        <v>0</v>
      </c>
      <c r="X8" s="19"/>
      <c r="Y8" s="17">
        <f>SUM(T8:W8)</f>
        <v>0</v>
      </c>
    </row>
    <row r="9" spans="1:25" ht="17.399999999999999" customHeight="1">
      <c r="A9" s="88"/>
      <c r="B9" s="22"/>
      <c r="C9" s="111"/>
      <c r="D9" s="24">
        <v>1</v>
      </c>
      <c r="E9" s="25">
        <f>D9*L3</f>
        <v>0</v>
      </c>
      <c r="F9" s="26">
        <v>650</v>
      </c>
      <c r="G9" s="25">
        <f>F9*E9</f>
        <v>0</v>
      </c>
      <c r="H9" s="27">
        <f>F9/8*1.5*D9*0</f>
        <v>0</v>
      </c>
      <c r="I9" s="27">
        <f>300*D9*L46*0</f>
        <v>0</v>
      </c>
      <c r="J9" s="28">
        <f>250*D9*L45</f>
        <v>500</v>
      </c>
      <c r="K9" s="29"/>
      <c r="L9" s="27">
        <f>SUM(G9:J9)</f>
        <v>500</v>
      </c>
      <c r="N9" s="88"/>
      <c r="O9" s="22"/>
      <c r="P9" s="111"/>
      <c r="Q9" s="24">
        <v>1</v>
      </c>
      <c r="R9" s="25">
        <f>Q9*Y3</f>
        <v>0</v>
      </c>
      <c r="S9" s="26">
        <v>650</v>
      </c>
      <c r="T9" s="25">
        <f>S9*R9</f>
        <v>0</v>
      </c>
      <c r="U9" s="27">
        <f>S9/8*1.5*Q9*0</f>
        <v>0</v>
      </c>
      <c r="V9" s="27">
        <f>300*Q9*Y2*0</f>
        <v>0</v>
      </c>
      <c r="W9" s="28">
        <f>250*Q9*Y45</f>
        <v>0</v>
      </c>
      <c r="X9" s="29"/>
      <c r="Y9" s="27">
        <f>SUM(T9:W9)</f>
        <v>0</v>
      </c>
    </row>
    <row r="10" spans="1:25" ht="17.399999999999999" customHeight="1">
      <c r="A10" s="88"/>
      <c r="B10" s="22"/>
      <c r="C10" s="111"/>
      <c r="D10" s="30"/>
      <c r="E10" s="25">
        <f>D10*L3</f>
        <v>0</v>
      </c>
      <c r="F10" s="26">
        <v>650</v>
      </c>
      <c r="G10" s="25">
        <f>F10*E10</f>
        <v>0</v>
      </c>
      <c r="H10" s="27">
        <f>F10/8*1.5*D10*0</f>
        <v>0</v>
      </c>
      <c r="I10" s="27">
        <f>300*D10*L48*0</f>
        <v>0</v>
      </c>
      <c r="J10" s="28">
        <f>250*D10*L45</f>
        <v>0</v>
      </c>
      <c r="K10" s="29"/>
      <c r="L10" s="27">
        <f>SUM(G10:J10)</f>
        <v>0</v>
      </c>
      <c r="N10" s="88"/>
      <c r="O10" s="22"/>
      <c r="P10" s="111"/>
      <c r="Q10" s="30"/>
      <c r="R10" s="25">
        <f>Q10*Y3</f>
        <v>0</v>
      </c>
      <c r="S10" s="26">
        <v>650</v>
      </c>
      <c r="T10" s="25">
        <f>S10*R10</f>
        <v>0</v>
      </c>
      <c r="U10" s="27">
        <f>S10/8*1.5*Q10*0</f>
        <v>0</v>
      </c>
      <c r="V10" s="27">
        <f>300*Q10*Y2*0</f>
        <v>0</v>
      </c>
      <c r="W10" s="28">
        <f>250*Q10*Y45</f>
        <v>0</v>
      </c>
      <c r="X10" s="29"/>
      <c r="Y10" s="27">
        <f>SUM(T10:W10)</f>
        <v>0</v>
      </c>
    </row>
    <row r="11" spans="1:25" ht="17.399999999999999" customHeight="1">
      <c r="A11" s="88"/>
      <c r="B11" s="22"/>
      <c r="C11" s="111"/>
      <c r="D11" s="30"/>
      <c r="E11" s="25">
        <f>D11*L3</f>
        <v>0</v>
      </c>
      <c r="F11" s="26">
        <v>650</v>
      </c>
      <c r="G11" s="25">
        <f>F11*E11</f>
        <v>0</v>
      </c>
      <c r="H11" s="27">
        <f>F11/8*1.5*D11*0</f>
        <v>0</v>
      </c>
      <c r="I11" s="27">
        <f>300*D11*L48*0</f>
        <v>0</v>
      </c>
      <c r="J11" s="28">
        <f>250*D11*L45</f>
        <v>0</v>
      </c>
      <c r="K11" s="29"/>
      <c r="L11" s="27">
        <f>SUM(G11:J11)</f>
        <v>0</v>
      </c>
      <c r="N11" s="88"/>
      <c r="O11" s="22"/>
      <c r="P11" s="111"/>
      <c r="Q11" s="30"/>
      <c r="R11" s="25">
        <f>Q11*Y3</f>
        <v>0</v>
      </c>
      <c r="S11" s="26">
        <v>650</v>
      </c>
      <c r="T11" s="25">
        <f>S11*R11</f>
        <v>0</v>
      </c>
      <c r="U11" s="27">
        <f>S11/8*1.5*Q11*0</f>
        <v>0</v>
      </c>
      <c r="V11" s="27">
        <f>300*Q11*Y2*0</f>
        <v>0</v>
      </c>
      <c r="W11" s="28">
        <f>250*Q11*Y45</f>
        <v>0</v>
      </c>
      <c r="X11" s="29"/>
      <c r="Y11" s="27">
        <f>SUM(T11:W11)</f>
        <v>0</v>
      </c>
    </row>
    <row r="12" spans="1:25" ht="17.399999999999999" customHeight="1" thickBot="1">
      <c r="A12" s="88"/>
      <c r="B12" s="22"/>
      <c r="C12" s="112"/>
      <c r="D12" s="30"/>
      <c r="E12" s="31"/>
      <c r="F12" s="26">
        <v>650</v>
      </c>
      <c r="G12" s="25">
        <f>F12*E12</f>
        <v>0</v>
      </c>
      <c r="H12" s="27">
        <f>F12/8*1.5*D12*0</f>
        <v>0</v>
      </c>
      <c r="I12" s="27">
        <f>300*D12*L50*0</f>
        <v>0</v>
      </c>
      <c r="J12" s="28">
        <f>250*D12*L45</f>
        <v>0</v>
      </c>
      <c r="K12" s="29"/>
      <c r="L12" s="27">
        <f>SUM(G12:J12)</f>
        <v>0</v>
      </c>
      <c r="N12" s="88"/>
      <c r="O12" s="22"/>
      <c r="P12" s="112"/>
      <c r="Q12" s="30"/>
      <c r="R12" s="31"/>
      <c r="S12" s="26">
        <v>650</v>
      </c>
      <c r="T12" s="25">
        <f>S12*R12</f>
        <v>0</v>
      </c>
      <c r="U12" s="27">
        <f>S12/8*1.5*Q12*0</f>
        <v>0</v>
      </c>
      <c r="V12" s="27">
        <f>300*Q12*Y2*0</f>
        <v>0</v>
      </c>
      <c r="W12" s="28">
        <f>250*Q12*Y45</f>
        <v>0</v>
      </c>
      <c r="X12" s="29"/>
      <c r="Y12" s="27">
        <f>SUM(T12:W12)</f>
        <v>0</v>
      </c>
    </row>
    <row r="13" spans="1:25" ht="17.399999999999999" customHeight="1" thickBot="1">
      <c r="A13" s="32"/>
      <c r="B13" s="131" t="s">
        <v>88</v>
      </c>
      <c r="C13" s="89"/>
      <c r="D13" s="34">
        <f>SUM(D8:D12)</f>
        <v>2</v>
      </c>
      <c r="E13" s="35">
        <f>SUM(E8:E12)</f>
        <v>0</v>
      </c>
      <c r="F13" s="35"/>
      <c r="G13" s="35">
        <f>SUM(G8:G12)</f>
        <v>0</v>
      </c>
      <c r="H13" s="35">
        <f>SUM(H8:H12)</f>
        <v>121.875</v>
      </c>
      <c r="I13" s="35">
        <f>SUM(I8:I12)</f>
        <v>600</v>
      </c>
      <c r="J13" s="35">
        <f>SUM(J8:J12)</f>
        <v>1000</v>
      </c>
      <c r="K13" s="36"/>
      <c r="L13" s="35">
        <f>SUM(L8:L12)</f>
        <v>1721.875</v>
      </c>
      <c r="N13" s="32"/>
      <c r="O13" s="131" t="s">
        <v>88</v>
      </c>
      <c r="P13" s="89"/>
      <c r="Q13" s="34">
        <f>SUM(Q8:Q12)</f>
        <v>1</v>
      </c>
      <c r="R13" s="35">
        <f>SUM(R8:R12)</f>
        <v>0</v>
      </c>
      <c r="S13" s="35"/>
      <c r="T13" s="35">
        <f>SUM(T8:T12)</f>
        <v>0</v>
      </c>
      <c r="U13" s="35">
        <f>SUM(U8:U12)</f>
        <v>0</v>
      </c>
      <c r="V13" s="35">
        <f>SUM(V8:V12)</f>
        <v>0</v>
      </c>
      <c r="W13" s="35">
        <f>SUM(W8:W12)</f>
        <v>0</v>
      </c>
      <c r="X13" s="36"/>
      <c r="Y13" s="35">
        <f>SUM(Y8:Y12)</f>
        <v>0</v>
      </c>
    </row>
    <row r="14" spans="1:25" ht="17.399999999999999" customHeight="1">
      <c r="A14" s="130" t="s">
        <v>24</v>
      </c>
      <c r="B14" s="15"/>
      <c r="C14" s="110" t="s">
        <v>86</v>
      </c>
      <c r="D14" s="20"/>
      <c r="E14" s="17">
        <f>D14*L3</f>
        <v>0</v>
      </c>
      <c r="F14" s="18">
        <v>700</v>
      </c>
      <c r="G14" s="17">
        <f>F14*E14</f>
        <v>0</v>
      </c>
      <c r="H14" s="17">
        <f>F14/8*1.5*D14*0</f>
        <v>0</v>
      </c>
      <c r="I14" s="17">
        <f>300*D14*L2*0</f>
        <v>0</v>
      </c>
      <c r="J14" s="17">
        <f>250*D14*L45</f>
        <v>0</v>
      </c>
      <c r="K14" s="19"/>
      <c r="L14" s="17">
        <f>SUM(G14:J14)</f>
        <v>0</v>
      </c>
      <c r="N14" s="90" t="s">
        <v>24</v>
      </c>
      <c r="O14" s="15"/>
      <c r="P14" s="110" t="s">
        <v>86</v>
      </c>
      <c r="Q14" s="20"/>
      <c r="R14" s="17">
        <f>Q14*Y3</f>
        <v>0</v>
      </c>
      <c r="S14" s="18">
        <v>700</v>
      </c>
      <c r="T14" s="17">
        <f>S14*R14</f>
        <v>0</v>
      </c>
      <c r="U14" s="17">
        <f>S14/8*1.5*Q14*0</f>
        <v>0</v>
      </c>
      <c r="V14" s="17">
        <f>300*Q14*Y2*0</f>
        <v>0</v>
      </c>
      <c r="W14" s="17">
        <f>250*Q14*Y45</f>
        <v>0</v>
      </c>
      <c r="X14" s="19"/>
      <c r="Y14" s="17">
        <f>SUM(T14:W14)</f>
        <v>0</v>
      </c>
    </row>
    <row r="15" spans="1:25" ht="17.399999999999999" customHeight="1">
      <c r="A15" s="88"/>
      <c r="B15" s="22"/>
      <c r="C15" s="111"/>
      <c r="D15" s="30"/>
      <c r="E15" s="25">
        <f>D15*L3</f>
        <v>0</v>
      </c>
      <c r="F15" s="26">
        <v>700</v>
      </c>
      <c r="G15" s="25">
        <f>F15*E15</f>
        <v>0</v>
      </c>
      <c r="H15" s="27">
        <f>F15/8*1.5*D15*0</f>
        <v>0</v>
      </c>
      <c r="I15" s="27">
        <f>300*D15*L2*0</f>
        <v>0</v>
      </c>
      <c r="J15" s="28">
        <f>250*D15*L45</f>
        <v>0</v>
      </c>
      <c r="K15" s="29"/>
      <c r="L15" s="27">
        <f>SUM(G15:J15)</f>
        <v>0</v>
      </c>
      <c r="N15" s="88"/>
      <c r="O15" s="22"/>
      <c r="P15" s="111"/>
      <c r="Q15" s="30"/>
      <c r="R15" s="25">
        <f>Q15*Y3</f>
        <v>0</v>
      </c>
      <c r="S15" s="26">
        <v>700</v>
      </c>
      <c r="T15" s="25">
        <f>S15*R15</f>
        <v>0</v>
      </c>
      <c r="U15" s="27">
        <f>S15/8*1.5*Q15*0</f>
        <v>0</v>
      </c>
      <c r="V15" s="27">
        <f>300*Q15*Y2*0</f>
        <v>0</v>
      </c>
      <c r="W15" s="28">
        <f>250*Q15*Y45</f>
        <v>0</v>
      </c>
      <c r="X15" s="29"/>
      <c r="Y15" s="27">
        <f>SUM(T15:W15)</f>
        <v>0</v>
      </c>
    </row>
    <row r="16" spans="1:25" ht="17.399999999999999" customHeight="1">
      <c r="A16" s="88"/>
      <c r="B16" s="22"/>
      <c r="C16" s="111"/>
      <c r="D16" s="30"/>
      <c r="E16" s="25">
        <f>D16*L3</f>
        <v>0</v>
      </c>
      <c r="F16" s="26">
        <v>700</v>
      </c>
      <c r="G16" s="25">
        <f>F16*E16</f>
        <v>0</v>
      </c>
      <c r="H16" s="27">
        <f>F16/8*1.5*D16*0</f>
        <v>0</v>
      </c>
      <c r="I16" s="27">
        <f>300*D16*L2*0</f>
        <v>0</v>
      </c>
      <c r="J16" s="28">
        <f>250*D16*L45</f>
        <v>0</v>
      </c>
      <c r="K16" s="29"/>
      <c r="L16" s="27">
        <f>SUM(G16:J16)</f>
        <v>0</v>
      </c>
      <c r="N16" s="88"/>
      <c r="O16" s="22"/>
      <c r="P16" s="111"/>
      <c r="Q16" s="30"/>
      <c r="R16" s="25">
        <f>Q16*Y3</f>
        <v>0</v>
      </c>
      <c r="S16" s="26">
        <v>700</v>
      </c>
      <c r="T16" s="25">
        <f>S16*R16</f>
        <v>0</v>
      </c>
      <c r="U16" s="27">
        <f>S16/8*1.5*Q16*0</f>
        <v>0</v>
      </c>
      <c r="V16" s="27">
        <f>300*Q16*Y2*0</f>
        <v>0</v>
      </c>
      <c r="W16" s="28">
        <f>250*Q16*Y45</f>
        <v>0</v>
      </c>
      <c r="X16" s="29"/>
      <c r="Y16" s="27">
        <f>SUM(T16:W16)</f>
        <v>0</v>
      </c>
    </row>
    <row r="17" spans="1:25" ht="17.399999999999999" customHeight="1">
      <c r="A17" s="88"/>
      <c r="B17" s="22"/>
      <c r="C17" s="111"/>
      <c r="D17" s="30"/>
      <c r="E17" s="25">
        <f>D17*L3</f>
        <v>0</v>
      </c>
      <c r="F17" s="26">
        <v>700</v>
      </c>
      <c r="G17" s="25">
        <f>F17*E17</f>
        <v>0</v>
      </c>
      <c r="H17" s="27">
        <f>F17/8*1.5*D17*0</f>
        <v>0</v>
      </c>
      <c r="I17" s="27">
        <f>300*D17*L2*0</f>
        <v>0</v>
      </c>
      <c r="J17" s="28">
        <f>250*D17*L48</f>
        <v>0</v>
      </c>
      <c r="K17" s="29"/>
      <c r="L17" s="27">
        <f>SUM(G17:J17)</f>
        <v>0</v>
      </c>
      <c r="N17" s="88"/>
      <c r="O17" s="22"/>
      <c r="P17" s="111"/>
      <c r="Q17" s="30"/>
      <c r="R17" s="25">
        <f>Q17*Y3</f>
        <v>0</v>
      </c>
      <c r="S17" s="26">
        <v>700</v>
      </c>
      <c r="T17" s="25">
        <f>S17*R17</f>
        <v>0</v>
      </c>
      <c r="U17" s="27">
        <f>S17/8*1.5*Q17*0</f>
        <v>0</v>
      </c>
      <c r="V17" s="27">
        <f>300*Q17*Y2*0</f>
        <v>0</v>
      </c>
      <c r="W17" s="28">
        <f>250*Q17*Y48</f>
        <v>0</v>
      </c>
      <c r="X17" s="29"/>
      <c r="Y17" s="27">
        <f>SUM(T17:W17)</f>
        <v>0</v>
      </c>
    </row>
    <row r="18" spans="1:25" ht="17.399999999999999" customHeight="1" thickBot="1">
      <c r="A18" s="88"/>
      <c r="B18" s="22"/>
      <c r="C18" s="112"/>
      <c r="D18" s="30"/>
      <c r="E18" s="25">
        <f>D18*L3</f>
        <v>0</v>
      </c>
      <c r="F18" s="26">
        <v>700</v>
      </c>
      <c r="G18" s="25">
        <f>F18*E18</f>
        <v>0</v>
      </c>
      <c r="H18" s="27">
        <f>F18/8*1.5*D18*0</f>
        <v>0</v>
      </c>
      <c r="I18" s="27">
        <f>300*D18*L2*0</f>
        <v>0</v>
      </c>
      <c r="J18" s="28">
        <f>250*D18*L45</f>
        <v>0</v>
      </c>
      <c r="K18" s="29"/>
      <c r="L18" s="27">
        <f>SUM(G18:J18)</f>
        <v>0</v>
      </c>
      <c r="N18" s="88"/>
      <c r="O18" s="22"/>
      <c r="P18" s="112"/>
      <c r="Q18" s="30"/>
      <c r="R18" s="25">
        <f>Q18*Y3</f>
        <v>0</v>
      </c>
      <c r="S18" s="26">
        <v>700</v>
      </c>
      <c r="T18" s="25">
        <f>S18*R18</f>
        <v>0</v>
      </c>
      <c r="U18" s="27">
        <f>S18/8*1.5*Q18*0</f>
        <v>0</v>
      </c>
      <c r="V18" s="27">
        <f>300*Q18*Y2*0</f>
        <v>0</v>
      </c>
      <c r="W18" s="28">
        <f>250*Q18*Y45</f>
        <v>0</v>
      </c>
      <c r="X18" s="29"/>
      <c r="Y18" s="27">
        <f>SUM(T18:W18)</f>
        <v>0</v>
      </c>
    </row>
    <row r="19" spans="1:25" ht="17.399999999999999" customHeight="1" thickBot="1">
      <c r="A19" s="32"/>
      <c r="B19" s="131" t="s">
        <v>89</v>
      </c>
      <c r="C19" s="89"/>
      <c r="D19" s="34">
        <f>SUM(D14:D18)</f>
        <v>0</v>
      </c>
      <c r="E19" s="35">
        <f>SUM(E14:E18)</f>
        <v>0</v>
      </c>
      <c r="F19" s="35"/>
      <c r="G19" s="35">
        <f>SUM(G14:G18)</f>
        <v>0</v>
      </c>
      <c r="H19" s="35">
        <f>SUM(H14:H18)</f>
        <v>0</v>
      </c>
      <c r="I19" s="35">
        <f>SUM(I14:I18)</f>
        <v>0</v>
      </c>
      <c r="J19" s="35">
        <f>SUM(J14:J18)</f>
        <v>0</v>
      </c>
      <c r="K19" s="36"/>
      <c r="L19" s="35">
        <f>SUM(L14:L18)</f>
        <v>0</v>
      </c>
      <c r="N19" s="32"/>
      <c r="O19" s="131" t="s">
        <v>89</v>
      </c>
      <c r="P19" s="89"/>
      <c r="Q19" s="34">
        <f>SUM(Q14:Q18)</f>
        <v>0</v>
      </c>
      <c r="R19" s="35">
        <f>SUM(R14:R18)</f>
        <v>0</v>
      </c>
      <c r="S19" s="35"/>
      <c r="T19" s="35">
        <f>SUM(T14:T18)</f>
        <v>0</v>
      </c>
      <c r="U19" s="35">
        <f>SUM(U14:U18)</f>
        <v>0</v>
      </c>
      <c r="V19" s="35">
        <f>SUM(V14:V18)</f>
        <v>0</v>
      </c>
      <c r="W19" s="35">
        <f>SUM(W14:W18)</f>
        <v>0</v>
      </c>
      <c r="X19" s="36"/>
      <c r="Y19" s="35">
        <f>SUM(Y14:Y18)</f>
        <v>0</v>
      </c>
    </row>
    <row r="20" spans="1:25" ht="17.399999999999999" customHeight="1">
      <c r="A20" s="130" t="s">
        <v>25</v>
      </c>
      <c r="B20" s="15"/>
      <c r="C20" s="110" t="s">
        <v>86</v>
      </c>
      <c r="D20" s="20"/>
      <c r="E20" s="17">
        <f>D20*L3</f>
        <v>0</v>
      </c>
      <c r="F20" s="18">
        <v>700</v>
      </c>
      <c r="G20" s="17">
        <f>F20*E20</f>
        <v>0</v>
      </c>
      <c r="H20" s="17">
        <f>F20/8*1.5*D20*0</f>
        <v>0</v>
      </c>
      <c r="I20" s="17">
        <f>300*D20*L2*0</f>
        <v>0</v>
      </c>
      <c r="J20" s="17">
        <f>250*D20*L45</f>
        <v>0</v>
      </c>
      <c r="K20" s="19"/>
      <c r="L20" s="17">
        <f>SUM(G20:J20)</f>
        <v>0</v>
      </c>
      <c r="N20" s="90" t="s">
        <v>26</v>
      </c>
      <c r="O20" s="15"/>
      <c r="P20" s="110" t="s">
        <v>86</v>
      </c>
      <c r="Q20" s="20"/>
      <c r="R20" s="17">
        <f>Q20*Y3</f>
        <v>0</v>
      </c>
      <c r="S20" s="18">
        <v>700</v>
      </c>
      <c r="T20" s="17">
        <f>S20*R20</f>
        <v>0</v>
      </c>
      <c r="U20" s="17">
        <f>S20/8*1.5*Q20*0</f>
        <v>0</v>
      </c>
      <c r="V20" s="17">
        <f>300*Q20*Y2*0</f>
        <v>0</v>
      </c>
      <c r="W20" s="17">
        <f>250*Q20*Y45</f>
        <v>0</v>
      </c>
      <c r="X20" s="19"/>
      <c r="Y20" s="17">
        <f>SUM(T20:W20)</f>
        <v>0</v>
      </c>
    </row>
    <row r="21" spans="1:25" ht="17.399999999999999" customHeight="1">
      <c r="A21" s="88"/>
      <c r="B21" s="22"/>
      <c r="C21" s="111"/>
      <c r="D21" s="30"/>
      <c r="E21" s="25">
        <f>D21*L3</f>
        <v>0</v>
      </c>
      <c r="F21" s="26">
        <v>700</v>
      </c>
      <c r="G21" s="25">
        <f>F21*E21</f>
        <v>0</v>
      </c>
      <c r="H21" s="27">
        <f>F21/8*1.5*D21*0</f>
        <v>0</v>
      </c>
      <c r="I21" s="27">
        <f>300*D21*L3*0</f>
        <v>0</v>
      </c>
      <c r="J21" s="28">
        <f>250*D21*L45</f>
        <v>0</v>
      </c>
      <c r="K21" s="29"/>
      <c r="L21" s="27">
        <f>SUM(G21:J21)</f>
        <v>0</v>
      </c>
      <c r="N21" s="88"/>
      <c r="O21" s="22"/>
      <c r="P21" s="111"/>
      <c r="Q21" s="30"/>
      <c r="R21" s="25">
        <f>Q21*Y3</f>
        <v>0</v>
      </c>
      <c r="S21" s="26">
        <v>700</v>
      </c>
      <c r="T21" s="25">
        <f>S21*R21</f>
        <v>0</v>
      </c>
      <c r="U21" s="27">
        <f>S21/8*1.5*Q21*0</f>
        <v>0</v>
      </c>
      <c r="V21" s="27">
        <f>300*Q21*Y3*0</f>
        <v>0</v>
      </c>
      <c r="W21" s="28">
        <f>250*Q21*Y45</f>
        <v>0</v>
      </c>
      <c r="X21" s="29"/>
      <c r="Y21" s="27">
        <f>SUM(T21:W21)</f>
        <v>0</v>
      </c>
    </row>
    <row r="22" spans="1:25" ht="17.399999999999999" customHeight="1">
      <c r="A22" s="88"/>
      <c r="B22" s="22"/>
      <c r="C22" s="111"/>
      <c r="D22" s="30"/>
      <c r="E22" s="25">
        <f>D22*L3</f>
        <v>0</v>
      </c>
      <c r="F22" s="26">
        <v>700</v>
      </c>
      <c r="G22" s="25">
        <f>F22*E22</f>
        <v>0</v>
      </c>
      <c r="H22" s="27">
        <f>F22/8*1.5*D22*0</f>
        <v>0</v>
      </c>
      <c r="I22" s="27">
        <f>300*D22*L4*0</f>
        <v>0</v>
      </c>
      <c r="J22" s="28">
        <f>250*D22*L45</f>
        <v>0</v>
      </c>
      <c r="K22" s="29"/>
      <c r="L22" s="27">
        <f>SUM(G22:J22)</f>
        <v>0</v>
      </c>
      <c r="N22" s="88"/>
      <c r="O22" s="22"/>
      <c r="P22" s="111"/>
      <c r="Q22" s="30"/>
      <c r="R22" s="25">
        <f>Q22*Y3</f>
        <v>0</v>
      </c>
      <c r="S22" s="26">
        <v>700</v>
      </c>
      <c r="T22" s="25">
        <f>S22*R22</f>
        <v>0</v>
      </c>
      <c r="U22" s="27">
        <f>S22/8*1.5*Q22*0</f>
        <v>0</v>
      </c>
      <c r="V22" s="27">
        <f>300*Q22*Y4*0</f>
        <v>0</v>
      </c>
      <c r="W22" s="28">
        <f>250*Q22*Y45</f>
        <v>0</v>
      </c>
      <c r="X22" s="29"/>
      <c r="Y22" s="27">
        <f>SUM(T22:W22)</f>
        <v>0</v>
      </c>
    </row>
    <row r="23" spans="1:25" ht="17.399999999999999" customHeight="1">
      <c r="A23" s="88"/>
      <c r="B23" s="22"/>
      <c r="C23" s="111"/>
      <c r="D23" s="30"/>
      <c r="E23" s="25">
        <f>D23*L3</f>
        <v>0</v>
      </c>
      <c r="F23" s="26">
        <v>700</v>
      </c>
      <c r="G23" s="25">
        <f>F23*E23</f>
        <v>0</v>
      </c>
      <c r="H23" s="27">
        <f>F23/8*1.5*D23*0</f>
        <v>0</v>
      </c>
      <c r="I23" s="27">
        <f>300*D23*L5*0</f>
        <v>0</v>
      </c>
      <c r="J23" s="28">
        <f>250*D23*L54</f>
        <v>0</v>
      </c>
      <c r="K23" s="29"/>
      <c r="L23" s="27">
        <f>SUM(G23:J23)</f>
        <v>0</v>
      </c>
      <c r="N23" s="88"/>
      <c r="O23" s="22"/>
      <c r="P23" s="111"/>
      <c r="Q23" s="30"/>
      <c r="R23" s="25">
        <f>Q23*Y3</f>
        <v>0</v>
      </c>
      <c r="S23" s="26">
        <v>700</v>
      </c>
      <c r="T23" s="25">
        <f>S23*R23</f>
        <v>0</v>
      </c>
      <c r="U23" s="27">
        <f>S23/8*1.5*Q23*0</f>
        <v>0</v>
      </c>
      <c r="V23" s="27">
        <f>300*Q23*Y5*0</f>
        <v>0</v>
      </c>
      <c r="W23" s="28">
        <f>250*Q23*Y54</f>
        <v>0</v>
      </c>
      <c r="X23" s="29"/>
      <c r="Y23" s="27">
        <f>SUM(T23:W23)</f>
        <v>0</v>
      </c>
    </row>
    <row r="24" spans="1:25" ht="17.399999999999999" customHeight="1" thickBot="1">
      <c r="A24" s="88"/>
      <c r="B24" s="22"/>
      <c r="C24" s="112"/>
      <c r="D24" s="30"/>
      <c r="E24" s="25">
        <f>D24*L3</f>
        <v>0</v>
      </c>
      <c r="F24" s="26">
        <v>700</v>
      </c>
      <c r="G24" s="25">
        <f>F24*E24</f>
        <v>0</v>
      </c>
      <c r="H24" s="27">
        <f>F24/8*1.5*D24*0</f>
        <v>0</v>
      </c>
      <c r="I24" s="27">
        <f>300*D24*L6*0</f>
        <v>0</v>
      </c>
      <c r="J24" s="28">
        <f>250*D24*L45</f>
        <v>0</v>
      </c>
      <c r="K24" s="29"/>
      <c r="L24" s="27">
        <f>SUM(G24:J24)</f>
        <v>0</v>
      </c>
      <c r="N24" s="88"/>
      <c r="O24" s="22"/>
      <c r="P24" s="112"/>
      <c r="Q24" s="30"/>
      <c r="R24" s="25">
        <f>Q24*Y3</f>
        <v>0</v>
      </c>
      <c r="S24" s="26">
        <v>700</v>
      </c>
      <c r="T24" s="25">
        <f>S24*R24</f>
        <v>0</v>
      </c>
      <c r="U24" s="27">
        <f>S24/8*1.5*Q24*0</f>
        <v>0</v>
      </c>
      <c r="V24" s="27">
        <f>300*Q24*Y6*0</f>
        <v>0</v>
      </c>
      <c r="W24" s="28">
        <f>250*Q24*Y45</f>
        <v>0</v>
      </c>
      <c r="X24" s="29"/>
      <c r="Y24" s="27">
        <f>SUM(T24:W24)</f>
        <v>0</v>
      </c>
    </row>
    <row r="25" spans="1:25" ht="17.399999999999999" customHeight="1" thickBot="1">
      <c r="A25" s="32"/>
      <c r="B25" s="131" t="s">
        <v>90</v>
      </c>
      <c r="C25" s="89"/>
      <c r="D25" s="34">
        <f>SUM(D20:D24)</f>
        <v>0</v>
      </c>
      <c r="E25" s="35">
        <f>SUM(E20:E24)</f>
        <v>0</v>
      </c>
      <c r="F25" s="35"/>
      <c r="G25" s="35">
        <f>SUM(G20:G24)</f>
        <v>0</v>
      </c>
      <c r="H25" s="35">
        <f>SUM(H20:H24)</f>
        <v>0</v>
      </c>
      <c r="I25" s="35">
        <f>SUM(I20:I24)</f>
        <v>0</v>
      </c>
      <c r="J25" s="35">
        <f>SUM(J20:J24)</f>
        <v>0</v>
      </c>
      <c r="K25" s="36"/>
      <c r="L25" s="35">
        <f>SUM(L20:L24)</f>
        <v>0</v>
      </c>
      <c r="N25" s="32"/>
      <c r="O25" s="131" t="s">
        <v>90</v>
      </c>
      <c r="P25" s="89"/>
      <c r="Q25" s="34">
        <f>SUM(Q20:Q24)</f>
        <v>0</v>
      </c>
      <c r="R25" s="35">
        <f>SUM(R20:R24)</f>
        <v>0</v>
      </c>
      <c r="S25" s="35"/>
      <c r="T25" s="35">
        <f>SUM(T20:T24)</f>
        <v>0</v>
      </c>
      <c r="U25" s="35">
        <f>SUM(U20:U24)</f>
        <v>0</v>
      </c>
      <c r="V25" s="35">
        <f>SUM(V20:V24)</f>
        <v>0</v>
      </c>
      <c r="W25" s="35">
        <f>SUM(W20:W24)</f>
        <v>0</v>
      </c>
      <c r="X25" s="36"/>
      <c r="Y25" s="35">
        <f>SUM(Y20:Y24)</f>
        <v>0</v>
      </c>
    </row>
    <row r="26" spans="1:25" ht="17.399999999999999" hidden="1" customHeight="1">
      <c r="A26" s="15"/>
      <c r="B26" s="15"/>
      <c r="C26" s="37"/>
      <c r="D26" s="20"/>
      <c r="E26" s="17"/>
      <c r="F26" s="17"/>
      <c r="G26" s="17"/>
      <c r="H26" s="17"/>
      <c r="I26" s="17"/>
      <c r="J26" s="17"/>
      <c r="K26" s="19"/>
      <c r="L26" s="17"/>
      <c r="N26" s="15"/>
      <c r="O26" s="15"/>
      <c r="P26" s="37"/>
      <c r="Q26" s="20"/>
      <c r="R26" s="17"/>
      <c r="S26" s="17"/>
      <c r="T26" s="17"/>
      <c r="U26" s="17"/>
      <c r="V26" s="17"/>
      <c r="W26" s="17"/>
      <c r="X26" s="19"/>
      <c r="Y26" s="17"/>
    </row>
    <row r="27" spans="1:25" ht="17.399999999999999" hidden="1" customHeight="1">
      <c r="A27" s="38"/>
      <c r="B27" s="22"/>
      <c r="C27" s="23"/>
      <c r="D27" s="30"/>
      <c r="E27" s="39"/>
      <c r="F27" s="31"/>
      <c r="G27" s="31"/>
      <c r="H27" s="40"/>
      <c r="I27" s="40"/>
      <c r="J27" s="41"/>
      <c r="K27" s="29"/>
      <c r="L27" s="40"/>
      <c r="N27" s="38"/>
      <c r="O27" s="22"/>
      <c r="P27" s="23"/>
      <c r="Q27" s="30"/>
      <c r="R27" s="39"/>
      <c r="S27" s="31"/>
      <c r="T27" s="31"/>
      <c r="U27" s="40"/>
      <c r="V27" s="40"/>
      <c r="W27" s="41"/>
      <c r="X27" s="29"/>
      <c r="Y27" s="40"/>
    </row>
    <row r="28" spans="1:25" ht="17.399999999999999" hidden="1" customHeight="1">
      <c r="A28" s="38"/>
      <c r="B28" s="22"/>
      <c r="C28" s="23"/>
      <c r="D28" s="30"/>
      <c r="E28" s="39"/>
      <c r="F28" s="31"/>
      <c r="G28" s="31"/>
      <c r="H28" s="40"/>
      <c r="I28" s="40"/>
      <c r="J28" s="41"/>
      <c r="K28" s="29"/>
      <c r="L28" s="40"/>
      <c r="N28" s="38"/>
      <c r="O28" s="22"/>
      <c r="P28" s="23"/>
      <c r="Q28" s="30"/>
      <c r="R28" s="39"/>
      <c r="S28" s="31"/>
      <c r="T28" s="31"/>
      <c r="U28" s="40"/>
      <c r="V28" s="40"/>
      <c r="W28" s="41"/>
      <c r="X28" s="29"/>
      <c r="Y28" s="40"/>
    </row>
    <row r="29" spans="1:25" ht="17.399999999999999" hidden="1" customHeight="1">
      <c r="A29" s="32"/>
      <c r="B29" s="33" t="str">
        <f ca="1">COUNTA(B26:B30)</f>
        <v/>
      </c>
      <c r="C29" s="33" t="s">
        <v>27</v>
      </c>
      <c r="D29" s="42" t="str">
        <f ca="1">SUM(D26:D30)</f>
        <v/>
      </c>
      <c r="E29" s="35"/>
      <c r="F29" s="35" t="str">
        <f ca="1">SUM(F26:F30)</f>
        <v/>
      </c>
      <c r="G29" s="35" t="str">
        <f ca="1">SUM(G26:G30)</f>
        <v/>
      </c>
      <c r="H29" s="35" t="str">
        <f ca="1">SUM(H26:H30)</f>
        <v/>
      </c>
      <c r="I29" s="35" t="str">
        <f ca="1">SUM(I26:I30)</f>
        <v/>
      </c>
      <c r="J29" s="35" t="str">
        <f ca="1">SUM(J26:J30)</f>
        <v/>
      </c>
      <c r="K29" s="36"/>
      <c r="L29" s="35" t="str">
        <f ca="1">SUM(L26:L30)</f>
        <v/>
      </c>
      <c r="N29" s="32"/>
      <c r="O29" s="33" t="str">
        <f ca="1">COUNTA(O26:O30)</f>
        <v/>
      </c>
      <c r="P29" s="33" t="s">
        <v>27</v>
      </c>
      <c r="Q29" s="42" t="str">
        <f ca="1">SUM(Q26:Q30)</f>
        <v/>
      </c>
      <c r="R29" s="35"/>
      <c r="S29" s="35" t="str">
        <f ca="1">SUM(S26:S30)</f>
        <v/>
      </c>
      <c r="T29" s="35" t="str">
        <f ca="1">SUM(T26:T30)</f>
        <v/>
      </c>
      <c r="U29" s="35" t="str">
        <f ca="1">SUM(U26:U30)</f>
        <v/>
      </c>
      <c r="V29" s="35" t="str">
        <f ca="1">SUM(V26:V30)</f>
        <v/>
      </c>
      <c r="W29" s="35" t="str">
        <f ca="1">SUM(W26:W30)</f>
        <v/>
      </c>
      <c r="X29" s="36"/>
      <c r="Y29" s="35" t="str">
        <f ca="1">SUM(Y26:Y30)</f>
        <v/>
      </c>
    </row>
    <row r="30" spans="1:25" ht="17.399999999999999" customHeight="1" thickBot="1">
      <c r="A30" s="43"/>
      <c r="B30" s="132" t="s">
        <v>91</v>
      </c>
      <c r="C30" s="105"/>
      <c r="D30" s="44">
        <f>SUM(D13+D19+D25)</f>
        <v>2</v>
      </c>
      <c r="E30" s="45">
        <f>SUM(E13+E19+E25)</f>
        <v>0</v>
      </c>
      <c r="F30" s="45"/>
      <c r="G30" s="45">
        <f>SUM(G19+G25+G13)</f>
        <v>0</v>
      </c>
      <c r="H30" s="45">
        <f>SUM(H13+H19+H25)</f>
        <v>121.875</v>
      </c>
      <c r="I30" s="45">
        <f>SUM(I13+I19+I25)</f>
        <v>600</v>
      </c>
      <c r="J30" s="45">
        <f>SUM(J13+J19+J25)</f>
        <v>1000</v>
      </c>
      <c r="K30" s="46"/>
      <c r="L30" s="45">
        <f>SUM(L13+L19+L25)</f>
        <v>1721.875</v>
      </c>
      <c r="N30" s="43"/>
      <c r="O30" s="132" t="s">
        <v>91</v>
      </c>
      <c r="P30" s="105"/>
      <c r="Q30" s="44">
        <f>SUM(Q13+Q19+Q25)</f>
        <v>1</v>
      </c>
      <c r="R30" s="45">
        <f>SUM(R13+R19+R25)</f>
        <v>0</v>
      </c>
      <c r="S30" s="45"/>
      <c r="T30" s="45">
        <f>SUM(T13+T19+T25)</f>
        <v>0</v>
      </c>
      <c r="U30" s="45">
        <f>SUM(U13+U19+U25)</f>
        <v>0</v>
      </c>
      <c r="V30" s="45">
        <f>SUM(V13+V19+V25)</f>
        <v>0</v>
      </c>
      <c r="W30" s="45">
        <f>SUM(W13+W19+W25)</f>
        <v>0</v>
      </c>
      <c r="X30" s="46"/>
      <c r="Y30" s="45">
        <f>SUM(Y13+Y19+Y25)</f>
        <v>0</v>
      </c>
    </row>
    <row r="31" spans="1:25" ht="21" customHeight="1">
      <c r="A31" s="47"/>
      <c r="B31" s="47"/>
      <c r="C31" s="47"/>
      <c r="D31" s="48"/>
      <c r="E31" s="48"/>
      <c r="F31" s="48"/>
      <c r="G31" s="48"/>
      <c r="H31" s="48"/>
      <c r="I31" s="48"/>
      <c r="J31" s="48"/>
      <c r="K31" s="47"/>
      <c r="L31" s="48"/>
      <c r="N31" s="47"/>
      <c r="O31" s="47"/>
      <c r="P31" s="47"/>
      <c r="Q31" s="48"/>
      <c r="R31" s="48"/>
      <c r="S31" s="48"/>
      <c r="T31" s="48"/>
      <c r="U31" s="48"/>
      <c r="V31" s="48"/>
      <c r="W31" s="48"/>
      <c r="X31" s="47"/>
      <c r="Y31" s="48"/>
    </row>
    <row r="32" spans="1:25" ht="30" customHeight="1">
      <c r="A32" s="49" t="s">
        <v>28</v>
      </c>
      <c r="B32" s="49" t="s">
        <v>12</v>
      </c>
      <c r="C32" s="49" t="s">
        <v>29</v>
      </c>
      <c r="D32" s="50" t="s">
        <v>30</v>
      </c>
      <c r="E32" s="51" t="s">
        <v>31</v>
      </c>
      <c r="F32" s="51" t="s">
        <v>32</v>
      </c>
      <c r="G32" s="51" t="s">
        <v>33</v>
      </c>
      <c r="H32" s="51" t="s">
        <v>34</v>
      </c>
      <c r="I32" s="51" t="s">
        <v>35</v>
      </c>
      <c r="J32" s="51"/>
      <c r="K32" s="47"/>
      <c r="L32" s="48"/>
      <c r="N32" s="49" t="s">
        <v>28</v>
      </c>
      <c r="O32" s="49" t="s">
        <v>12</v>
      </c>
      <c r="P32" s="49" t="s">
        <v>29</v>
      </c>
      <c r="Q32" s="50" t="s">
        <v>30</v>
      </c>
      <c r="R32" s="51" t="s">
        <v>31</v>
      </c>
      <c r="S32" s="51" t="s">
        <v>32</v>
      </c>
      <c r="T32" s="51" t="s">
        <v>33</v>
      </c>
      <c r="U32" s="51" t="s">
        <v>34</v>
      </c>
      <c r="V32" s="51" t="s">
        <v>35</v>
      </c>
      <c r="W32" s="51"/>
      <c r="X32" s="47"/>
      <c r="Y32" s="48"/>
    </row>
    <row r="33" spans="1:25" ht="17.399999999999999" customHeight="1">
      <c r="A33" s="52" t="s">
        <v>36</v>
      </c>
      <c r="B33" s="53"/>
      <c r="C33" s="54"/>
      <c r="D33" s="55"/>
      <c r="E33" s="55"/>
      <c r="F33" s="55"/>
      <c r="G33" s="55"/>
      <c r="H33" s="55"/>
      <c r="I33" s="56">
        <f>(D33*E33)+(G33*D33)+H33+(F33*D33)</f>
        <v>0</v>
      </c>
      <c r="J33" s="57"/>
      <c r="K33" s="21"/>
      <c r="L33" s="57"/>
      <c r="N33" s="52" t="s">
        <v>36</v>
      </c>
      <c r="O33" s="53"/>
      <c r="P33" s="54"/>
      <c r="Q33" s="58"/>
      <c r="R33" s="58"/>
      <c r="S33" s="58"/>
      <c r="T33" s="58"/>
      <c r="U33" s="58"/>
      <c r="V33" s="59">
        <f>(Q33*R33)+(T33*Q33)+U33+(S33*Q33)</f>
        <v>0</v>
      </c>
      <c r="W33" s="40"/>
      <c r="X33" s="60"/>
      <c r="Y33" s="61"/>
    </row>
    <row r="34" spans="1:25" ht="17.399999999999999" customHeight="1">
      <c r="A34" s="23"/>
      <c r="B34" s="53"/>
      <c r="C34" s="54"/>
      <c r="D34" s="55"/>
      <c r="E34" s="55"/>
      <c r="F34" s="55"/>
      <c r="G34" s="55"/>
      <c r="H34" s="55"/>
      <c r="I34" s="56">
        <f>(D34*E34)+(G34*D34)+H34+(F34*D34)</f>
        <v>0</v>
      </c>
      <c r="J34" s="62"/>
      <c r="K34" s="63"/>
      <c r="L34" s="64"/>
      <c r="N34" s="23"/>
      <c r="O34" s="53"/>
      <c r="P34" s="54"/>
      <c r="Q34" s="58"/>
      <c r="R34" s="58"/>
      <c r="S34" s="58"/>
      <c r="T34" s="58"/>
      <c r="U34" s="58"/>
      <c r="V34" s="59">
        <f>(Q34*R34)+(T34*Q34)+U34+(S34*Q34)</f>
        <v>0</v>
      </c>
      <c r="W34" s="65"/>
      <c r="X34" s="66"/>
      <c r="Y34" s="67"/>
    </row>
    <row r="35" spans="1:25" ht="17.399999999999999" customHeight="1">
      <c r="A35" s="23"/>
      <c r="B35" s="53"/>
      <c r="C35" s="54"/>
      <c r="D35" s="55"/>
      <c r="E35" s="55"/>
      <c r="F35" s="55"/>
      <c r="G35" s="55"/>
      <c r="H35" s="55"/>
      <c r="I35" s="56">
        <f>(D35*E35)+(G35*D35)+H35+(F35*D35)</f>
        <v>0</v>
      </c>
      <c r="J35" s="68"/>
      <c r="K35" s="21"/>
      <c r="L35" s="57"/>
      <c r="N35" s="23"/>
      <c r="O35" s="53"/>
      <c r="P35" s="54"/>
      <c r="Q35" s="58"/>
      <c r="R35" s="58"/>
      <c r="S35" s="58"/>
      <c r="T35" s="58"/>
      <c r="U35" s="58"/>
      <c r="V35" s="59">
        <f>(Q35*R35)+(T35*Q35)+U35+(S35*Q35)</f>
        <v>0</v>
      </c>
      <c r="W35" s="65"/>
      <c r="X35" s="66"/>
      <c r="Y35" s="67"/>
    </row>
    <row r="36" spans="1:25" ht="17.399999999999999" customHeight="1">
      <c r="A36" s="23"/>
      <c r="B36" s="53"/>
      <c r="C36" s="54"/>
      <c r="D36" s="55"/>
      <c r="E36" s="55"/>
      <c r="F36" s="55"/>
      <c r="G36" s="55"/>
      <c r="H36" s="55"/>
      <c r="I36" s="56">
        <f>(D36*E36)+(G36*D36)+H36+(F36*D36)</f>
        <v>0</v>
      </c>
      <c r="J36" s="68"/>
      <c r="K36" s="21"/>
      <c r="L36" s="57"/>
      <c r="N36" s="23"/>
      <c r="O36" s="53"/>
      <c r="P36" s="54"/>
      <c r="Q36" s="58"/>
      <c r="R36" s="58"/>
      <c r="S36" s="58"/>
      <c r="T36" s="58"/>
      <c r="U36" s="58"/>
      <c r="V36" s="59">
        <f>(Q36*R36)+(T36*Q36)+U36+(S36*Q36)</f>
        <v>0</v>
      </c>
      <c r="W36" s="67"/>
      <c r="X36" s="66"/>
      <c r="Y36" s="67"/>
    </row>
    <row r="37" spans="1:25" ht="17.399999999999999" customHeight="1">
      <c r="A37" s="23"/>
      <c r="B37" s="53"/>
      <c r="C37" s="54"/>
      <c r="D37" s="55"/>
      <c r="E37" s="55"/>
      <c r="F37" s="55"/>
      <c r="G37" s="55"/>
      <c r="H37" s="55"/>
      <c r="I37" s="56">
        <f>(D37*E37)+(G37*D37)+H37+(F37*D37)</f>
        <v>0</v>
      </c>
      <c r="J37" s="57"/>
      <c r="K37" s="21"/>
      <c r="L37" s="57"/>
      <c r="N37" s="23"/>
      <c r="O37" s="53"/>
      <c r="P37" s="54"/>
      <c r="Q37" s="58"/>
      <c r="R37" s="58"/>
      <c r="S37" s="58"/>
      <c r="T37" s="58"/>
      <c r="U37" s="58"/>
      <c r="V37" s="59">
        <f>(Q37*R37)+(T37*Q37)+U37+(S37*Q37)</f>
        <v>0</v>
      </c>
      <c r="W37" s="67"/>
      <c r="X37" s="66"/>
      <c r="Y37" s="67"/>
    </row>
    <row r="38" spans="1:25" ht="17.399999999999999" customHeight="1">
      <c r="A38" s="32"/>
      <c r="B38" s="69"/>
      <c r="C38" s="69"/>
      <c r="D38" s="70">
        <f>SUM(D33:D37)</f>
        <v>0</v>
      </c>
      <c r="E38" s="70">
        <f>SUM(E33:E37)</f>
        <v>0</v>
      </c>
      <c r="F38" s="70"/>
      <c r="G38" s="70">
        <f>SUM(G33:G37)</f>
        <v>0</v>
      </c>
      <c r="H38" s="70">
        <f>SUM(H33:H37)</f>
        <v>0</v>
      </c>
      <c r="I38" s="70">
        <f>SUM(I33:I37)</f>
        <v>0</v>
      </c>
      <c r="J38" s="34"/>
      <c r="K38" s="32"/>
      <c r="L38" s="34"/>
      <c r="N38" s="32"/>
      <c r="O38" s="69"/>
      <c r="P38" s="69"/>
      <c r="Q38" s="71">
        <f>SUM(Q33:Q37)</f>
        <v>0</v>
      </c>
      <c r="R38" s="71">
        <f>SUM(R33:R37)</f>
        <v>0</v>
      </c>
      <c r="S38" s="71"/>
      <c r="T38" s="71">
        <f>SUM(T33:T37)</f>
        <v>0</v>
      </c>
      <c r="U38" s="71">
        <f>SUM(U33:U37)</f>
        <v>0</v>
      </c>
      <c r="V38" s="71">
        <f>SUM(V33:V37)</f>
        <v>0</v>
      </c>
      <c r="W38" s="35"/>
      <c r="X38" s="36"/>
      <c r="Y38" s="35"/>
    </row>
    <row r="39" spans="1:25" ht="17.399999999999999" customHeight="1">
      <c r="A39" s="52" t="s">
        <v>37</v>
      </c>
      <c r="B39" s="53"/>
      <c r="C39" s="54"/>
      <c r="D39" s="55"/>
      <c r="E39" s="55"/>
      <c r="F39" s="55"/>
      <c r="G39" s="55"/>
      <c r="H39" s="55"/>
      <c r="I39" s="56">
        <f>(D39*E39)+(G39*D39)+H39+(F39*D39)</f>
        <v>0</v>
      </c>
      <c r="J39" s="106" t="s">
        <v>38</v>
      </c>
      <c r="K39" s="88"/>
      <c r="L39" s="107"/>
      <c r="N39" s="52" t="s">
        <v>37</v>
      </c>
      <c r="O39" s="53"/>
      <c r="P39" s="54"/>
      <c r="Q39" s="58"/>
      <c r="R39" s="58"/>
      <c r="S39" s="58"/>
      <c r="T39" s="58"/>
      <c r="U39" s="58"/>
      <c r="V39" s="59">
        <f>(Q39*R39)+(T39*Q39)+U39+(S39*Q39)</f>
        <v>0</v>
      </c>
      <c r="W39" s="84" t="s">
        <v>38</v>
      </c>
      <c r="X39" s="85"/>
      <c r="Y39" s="86"/>
    </row>
    <row r="40" spans="1:25" ht="17.399999999999999" customHeight="1">
      <c r="A40" s="23"/>
      <c r="B40" s="53"/>
      <c r="C40" s="54"/>
      <c r="D40" s="55"/>
      <c r="E40" s="55"/>
      <c r="F40" s="55"/>
      <c r="G40" s="55"/>
      <c r="H40" s="55"/>
      <c r="I40" s="56">
        <f>(D40*E40)+(G40*D40)+H40+(F40*D40)</f>
        <v>0</v>
      </c>
      <c r="J40" s="107"/>
      <c r="K40" s="88"/>
      <c r="L40" s="107"/>
      <c r="N40" s="23"/>
      <c r="O40" s="53"/>
      <c r="P40" s="54"/>
      <c r="Q40" s="58"/>
      <c r="R40" s="58"/>
      <c r="S40" s="58"/>
      <c r="T40" s="58"/>
      <c r="U40" s="58"/>
      <c r="V40" s="59">
        <f>(Q40*R40)+(T40*Q40)+U40+(S40*Q40)</f>
        <v>0</v>
      </c>
      <c r="W40" s="86"/>
      <c r="X40" s="85"/>
      <c r="Y40" s="86"/>
    </row>
    <row r="41" spans="1:25" ht="17.399999999999999" customHeight="1">
      <c r="A41" s="23"/>
      <c r="B41" s="53"/>
      <c r="C41" s="54"/>
      <c r="D41" s="55"/>
      <c r="E41" s="55"/>
      <c r="F41" s="55"/>
      <c r="G41" s="55"/>
      <c r="H41" s="55"/>
      <c r="I41" s="56">
        <f>(D41*E41)+(G41*D41)+H41+(F41*D41)</f>
        <v>0</v>
      </c>
      <c r="J41" s="87" t="s">
        <v>39</v>
      </c>
      <c r="K41" s="88"/>
      <c r="L41" s="72">
        <v>350</v>
      </c>
      <c r="N41" s="23"/>
      <c r="O41" s="53"/>
      <c r="P41" s="54"/>
      <c r="Q41" s="58"/>
      <c r="R41" s="58"/>
      <c r="S41" s="58"/>
      <c r="T41" s="58"/>
      <c r="U41" s="58"/>
      <c r="V41" s="59">
        <f>(Q41*R41)+(T41*Q41)+U41+(S41*Q41)</f>
        <v>0</v>
      </c>
      <c r="W41" s="87" t="s">
        <v>39</v>
      </c>
      <c r="X41" s="88"/>
      <c r="Y41" s="72">
        <v>222</v>
      </c>
    </row>
    <row r="42" spans="1:25" ht="17.399999999999999" customHeight="1">
      <c r="A42" s="23"/>
      <c r="B42" s="53"/>
      <c r="C42" s="54"/>
      <c r="D42" s="55"/>
      <c r="E42" s="55"/>
      <c r="F42" s="55"/>
      <c r="G42" s="55"/>
      <c r="H42" s="55"/>
      <c r="I42" s="56">
        <f>(D42*E42)+(G42*D42)+H42+(F42*D42)</f>
        <v>0</v>
      </c>
      <c r="J42" s="87" t="s">
        <v>40</v>
      </c>
      <c r="K42" s="88"/>
      <c r="L42" s="72">
        <v>23</v>
      </c>
      <c r="N42" s="23"/>
      <c r="O42" s="53"/>
      <c r="P42" s="54"/>
      <c r="Q42" s="58"/>
      <c r="R42" s="58"/>
      <c r="S42" s="58"/>
      <c r="T42" s="58"/>
      <c r="U42" s="58"/>
      <c r="V42" s="59">
        <f>(Q42*R42)+(T42*Q42)+U42+(S42*Q42)</f>
        <v>0</v>
      </c>
      <c r="W42" s="87" t="s">
        <v>40</v>
      </c>
      <c r="X42" s="88"/>
      <c r="Y42" s="72">
        <v>25</v>
      </c>
    </row>
    <row r="43" spans="1:25" ht="17.399999999999999" customHeight="1" thickBot="1">
      <c r="A43" s="23"/>
      <c r="B43" s="53"/>
      <c r="C43" s="54"/>
      <c r="D43" s="55"/>
      <c r="E43" s="55"/>
      <c r="F43" s="55"/>
      <c r="G43" s="55"/>
      <c r="H43" s="55"/>
      <c r="I43" s="56">
        <f>(D43*E43)+(G43*D43)+H43+(F43*D43)</f>
        <v>0</v>
      </c>
      <c r="J43" s="87" t="s">
        <v>41</v>
      </c>
      <c r="K43" s="88"/>
      <c r="L43" s="72">
        <v>25</v>
      </c>
      <c r="N43" s="23"/>
      <c r="O43" s="53"/>
      <c r="P43" s="54"/>
      <c r="Q43" s="58"/>
      <c r="R43" s="58"/>
      <c r="S43" s="58"/>
      <c r="T43" s="58"/>
      <c r="U43" s="58"/>
      <c r="V43" s="59">
        <f>(Q43*R43)+(T43*Q43)+U43+(S43*Q43)</f>
        <v>0</v>
      </c>
      <c r="W43" s="87" t="s">
        <v>41</v>
      </c>
      <c r="X43" s="88"/>
      <c r="Y43" s="72">
        <v>26</v>
      </c>
    </row>
    <row r="44" spans="1:25" ht="17.399999999999999" customHeight="1" thickBot="1">
      <c r="A44" s="32"/>
      <c r="B44" s="69"/>
      <c r="C44" s="69"/>
      <c r="D44" s="70">
        <f>SUM(D39:D43)</f>
        <v>0</v>
      </c>
      <c r="E44" s="70">
        <f>SUM(E39:E43)</f>
        <v>0</v>
      </c>
      <c r="F44" s="70"/>
      <c r="G44" s="70">
        <f>SUM(G39:G43)</f>
        <v>0</v>
      </c>
      <c r="H44" s="70">
        <f>SUM(H39:H43)</f>
        <v>0</v>
      </c>
      <c r="I44" s="70">
        <f>SUM(I39:I43)</f>
        <v>0</v>
      </c>
      <c r="J44" s="87" t="s">
        <v>42</v>
      </c>
      <c r="K44" s="88"/>
      <c r="L44" s="72">
        <v>25</v>
      </c>
      <c r="N44" s="32"/>
      <c r="O44" s="69"/>
      <c r="P44" s="69"/>
      <c r="Q44" s="71">
        <f>SUM(Q39:Q43)</f>
        <v>0</v>
      </c>
      <c r="R44" s="71">
        <f>SUM(R39:R43)</f>
        <v>0</v>
      </c>
      <c r="S44" s="71"/>
      <c r="T44" s="71">
        <f>SUM(T39:T43)</f>
        <v>0</v>
      </c>
      <c r="U44" s="71">
        <f>SUM(U39:U43)</f>
        <v>0</v>
      </c>
      <c r="V44" s="71">
        <f>SUM(V39:V43)</f>
        <v>0</v>
      </c>
      <c r="W44" s="87" t="s">
        <v>42</v>
      </c>
      <c r="X44" s="88"/>
      <c r="Y44" s="72">
        <v>25</v>
      </c>
    </row>
    <row r="45" spans="1:25" ht="17.399999999999999" customHeight="1">
      <c r="A45" s="52" t="s">
        <v>43</v>
      </c>
      <c r="B45" s="53"/>
      <c r="C45" s="54"/>
      <c r="D45" s="74">
        <v>1</v>
      </c>
      <c r="E45" s="56">
        <v>15000</v>
      </c>
      <c r="F45" s="55"/>
      <c r="G45" s="55"/>
      <c r="H45" s="55"/>
      <c r="I45" s="56">
        <f>(D45*E45)+(G45*D45)+H45+(F45*D45)</f>
        <v>15000</v>
      </c>
      <c r="J45" s="87" t="s">
        <v>44</v>
      </c>
      <c r="K45" s="88"/>
      <c r="L45" s="72">
        <v>2</v>
      </c>
      <c r="N45" s="52" t="s">
        <v>43</v>
      </c>
      <c r="O45" s="53"/>
      <c r="P45" s="54"/>
      <c r="Q45" s="75">
        <v>1</v>
      </c>
      <c r="R45" s="75">
        <v>15000</v>
      </c>
      <c r="S45" s="58"/>
      <c r="T45" s="58"/>
      <c r="U45" s="58"/>
      <c r="V45" s="59">
        <f>(Q45*R45)+(T45*Q45)+U45+(S45*Q45)</f>
        <v>15000</v>
      </c>
      <c r="W45" s="87" t="s">
        <v>44</v>
      </c>
      <c r="X45" s="88"/>
      <c r="Y45" s="72">
        <f>0</f>
        <v>0</v>
      </c>
    </row>
    <row r="46" spans="1:25" ht="17.399999999999999" customHeight="1">
      <c r="A46" s="23"/>
      <c r="B46" s="53"/>
      <c r="C46" s="54"/>
      <c r="D46" s="55"/>
      <c r="E46" s="55"/>
      <c r="F46" s="55"/>
      <c r="G46" s="55"/>
      <c r="H46" s="55"/>
      <c r="I46" s="56">
        <f>(D46*E46)+(G46*D46)+H46+(F46*D46)</f>
        <v>0</v>
      </c>
      <c r="J46" s="87" t="s">
        <v>45</v>
      </c>
      <c r="K46" s="88"/>
      <c r="L46" s="72">
        <v>2</v>
      </c>
      <c r="N46" s="23"/>
      <c r="O46" s="53"/>
      <c r="P46" s="54"/>
      <c r="Q46" s="58"/>
      <c r="R46" s="58"/>
      <c r="S46" s="58"/>
      <c r="T46" s="58"/>
      <c r="U46" s="58"/>
      <c r="V46" s="59">
        <f>(Q46*R46)+(T46*Q46)+U46+(S46*Q46)</f>
        <v>0</v>
      </c>
      <c r="W46" s="87" t="s">
        <v>45</v>
      </c>
      <c r="X46" s="88"/>
      <c r="Y46" s="72"/>
    </row>
    <row r="47" spans="1:25" ht="17.399999999999999" customHeight="1">
      <c r="A47" s="23"/>
      <c r="B47" s="53"/>
      <c r="C47" s="54"/>
      <c r="D47" s="55"/>
      <c r="E47" s="55"/>
      <c r="F47" s="55"/>
      <c r="G47" s="55"/>
      <c r="H47" s="55"/>
      <c r="I47" s="56">
        <f>(D47*E47)+(G47*D47)+H47+(F47*D47)</f>
        <v>0</v>
      </c>
      <c r="J47" s="87" t="s">
        <v>46</v>
      </c>
      <c r="K47" s="88"/>
      <c r="L47" s="72">
        <v>2</v>
      </c>
      <c r="N47" s="23"/>
      <c r="O47" s="53"/>
      <c r="P47" s="54"/>
      <c r="Q47" s="58"/>
      <c r="R47" s="58"/>
      <c r="S47" s="58"/>
      <c r="T47" s="58"/>
      <c r="U47" s="58"/>
      <c r="V47" s="59">
        <f>(Q47*R47)+(T47*Q47)+U47+(S47*Q47)</f>
        <v>0</v>
      </c>
      <c r="W47" s="87" t="s">
        <v>46</v>
      </c>
      <c r="X47" s="88"/>
      <c r="Y47" s="72"/>
    </row>
    <row r="48" spans="1:25" ht="17.399999999999999" customHeight="1">
      <c r="A48" s="23"/>
      <c r="B48" s="53"/>
      <c r="C48" s="54"/>
      <c r="D48" s="55"/>
      <c r="E48" s="55"/>
      <c r="F48" s="55"/>
      <c r="G48" s="55"/>
      <c r="H48" s="55"/>
      <c r="I48" s="56">
        <f>(D48*E48)+(G48*D48)+H48+(F48*D48)</f>
        <v>0</v>
      </c>
      <c r="J48" s="87" t="s">
        <v>47</v>
      </c>
      <c r="K48" s="88"/>
      <c r="L48" s="72"/>
      <c r="N48" s="23"/>
      <c r="O48" s="53"/>
      <c r="P48" s="54"/>
      <c r="Q48" s="58"/>
      <c r="R48" s="58"/>
      <c r="S48" s="58"/>
      <c r="T48" s="58"/>
      <c r="U48" s="58"/>
      <c r="V48" s="59">
        <f>(Q48*R48)+(T48*Q48)+U48+(S48*Q48)</f>
        <v>0</v>
      </c>
      <c r="W48" s="87" t="s">
        <v>47</v>
      </c>
      <c r="X48" s="88"/>
      <c r="Y48" s="72"/>
    </row>
    <row r="49" spans="1:25" ht="17.399999999999999" customHeight="1" thickBot="1">
      <c r="A49" s="23"/>
      <c r="B49" s="53"/>
      <c r="C49" s="54"/>
      <c r="D49" s="55"/>
      <c r="E49" s="55"/>
      <c r="F49" s="55"/>
      <c r="G49" s="55"/>
      <c r="H49" s="55"/>
      <c r="I49" s="56">
        <f>(D49*E49)+(G49*D49)+H49+(F49*D49)</f>
        <v>0</v>
      </c>
      <c r="J49" s="87" t="s">
        <v>48</v>
      </c>
      <c r="K49" s="88"/>
      <c r="L49" s="72">
        <v>1</v>
      </c>
      <c r="N49" s="23"/>
      <c r="O49" s="53"/>
      <c r="P49" s="54"/>
      <c r="Q49" s="58"/>
      <c r="R49" s="58"/>
      <c r="S49" s="58"/>
      <c r="T49" s="58"/>
      <c r="U49" s="58"/>
      <c r="V49" s="59">
        <f>(Q49*R49)+(T49*Q49)+U49+(S49*Q49)</f>
        <v>0</v>
      </c>
      <c r="W49" s="87" t="s">
        <v>48</v>
      </c>
      <c r="X49" s="88"/>
      <c r="Y49" s="72">
        <v>1</v>
      </c>
    </row>
    <row r="50" spans="1:25" ht="17.399999999999999" customHeight="1" thickBot="1">
      <c r="A50" s="32"/>
      <c r="B50" s="69"/>
      <c r="C50" s="69"/>
      <c r="D50" s="70">
        <f>SUM(D45:D49)</f>
        <v>1</v>
      </c>
      <c r="E50" s="70">
        <f>SUM(E45:E49)</f>
        <v>15000</v>
      </c>
      <c r="F50" s="70"/>
      <c r="G50" s="70">
        <f>SUM(G45:G49)</f>
        <v>0</v>
      </c>
      <c r="H50" s="70">
        <f>SUM(H45:H49)</f>
        <v>0</v>
      </c>
      <c r="I50" s="70">
        <f>SUM(I45:I49)</f>
        <v>15000</v>
      </c>
      <c r="J50" s="87" t="s">
        <v>49</v>
      </c>
      <c r="K50" s="88"/>
      <c r="L50" s="72"/>
      <c r="N50" s="32"/>
      <c r="O50" s="69"/>
      <c r="P50" s="69"/>
      <c r="Q50" s="71">
        <f>SUM(Q45:Q49)</f>
        <v>1</v>
      </c>
      <c r="R50" s="71">
        <f>SUM(R45:R49)</f>
        <v>15000</v>
      </c>
      <c r="S50" s="71"/>
      <c r="T50" s="71">
        <f>SUM(T45:T49)</f>
        <v>0</v>
      </c>
      <c r="U50" s="71">
        <f>SUM(U45:U49)</f>
        <v>0</v>
      </c>
      <c r="V50" s="71">
        <f>SUM(V45:V49)</f>
        <v>15000</v>
      </c>
      <c r="W50" s="87" t="s">
        <v>49</v>
      </c>
      <c r="X50" s="88"/>
      <c r="Y50" s="72"/>
    </row>
    <row r="51" spans="1:25" ht="18" customHeight="1" thickBot="1">
      <c r="A51" s="32"/>
      <c r="B51" s="69"/>
      <c r="C51" s="69" t="s">
        <v>50</v>
      </c>
      <c r="D51" s="73">
        <f>D38+D44+D50</f>
        <v>1</v>
      </c>
      <c r="E51" s="73">
        <f>E38+E44+E50</f>
        <v>15000</v>
      </c>
      <c r="F51" s="73"/>
      <c r="G51" s="73">
        <f>G38+G44+G50</f>
        <v>0</v>
      </c>
      <c r="H51" s="73">
        <f>H38+H44+H50</f>
        <v>0</v>
      </c>
      <c r="I51" s="73">
        <f>I38+I44+I50</f>
        <v>15000</v>
      </c>
      <c r="J51" s="87" t="s">
        <v>51</v>
      </c>
      <c r="K51" s="88"/>
      <c r="L51" s="72">
        <v>0</v>
      </c>
      <c r="N51" s="43"/>
      <c r="O51" s="76"/>
      <c r="P51" s="76" t="s">
        <v>50</v>
      </c>
      <c r="Q51" s="45">
        <f>Q38+Q44+Q50</f>
        <v>1</v>
      </c>
      <c r="R51" s="45">
        <f>R38+R44+R50</f>
        <v>15000</v>
      </c>
      <c r="S51" s="45"/>
      <c r="T51" s="45">
        <f>T38+T44+T50</f>
        <v>0</v>
      </c>
      <c r="U51" s="45">
        <f>U38+U44+U50</f>
        <v>0</v>
      </c>
      <c r="V51" s="45">
        <f>V38+V44+V50</f>
        <v>15000</v>
      </c>
      <c r="W51" s="87" t="s">
        <v>51</v>
      </c>
      <c r="X51" s="88"/>
      <c r="Y51" s="72">
        <v>0</v>
      </c>
    </row>
    <row r="54" spans="1:25">
      <c r="A54" s="91" t="s">
        <v>52</v>
      </c>
      <c r="B54" s="92"/>
      <c r="C54" s="92"/>
      <c r="D54" s="92"/>
      <c r="E54" s="92"/>
    </row>
    <row r="55" spans="1:25">
      <c r="A55" s="94"/>
      <c r="B55" s="95"/>
      <c r="C55" s="95"/>
      <c r="D55" s="95"/>
      <c r="E55" s="95"/>
    </row>
    <row r="56" spans="1:25" ht="20.399999999999999" customHeight="1">
      <c r="A56" s="82" t="s">
        <v>53</v>
      </c>
      <c r="B56" s="83"/>
      <c r="C56" s="116">
        <f>SUM(I51)</f>
        <v>15000</v>
      </c>
      <c r="D56" s="117"/>
      <c r="E56" s="77" t="s">
        <v>54</v>
      </c>
    </row>
    <row r="57" spans="1:25" ht="20.399999999999999" customHeight="1">
      <c r="A57" s="82" t="s">
        <v>55</v>
      </c>
      <c r="B57" s="83"/>
      <c r="C57" s="118">
        <f>SUM(V51)</f>
        <v>15000</v>
      </c>
      <c r="D57" s="119"/>
      <c r="E57" s="77" t="s">
        <v>54</v>
      </c>
      <c r="J57" s="2"/>
      <c r="K57" s="3"/>
      <c r="L57" s="6"/>
    </row>
    <row r="58" spans="1:25" ht="20.399999999999999" customHeight="1">
      <c r="A58" s="82" t="s">
        <v>56</v>
      </c>
      <c r="B58" s="83"/>
      <c r="C58" s="120">
        <f>C56+C57</f>
        <v>30000</v>
      </c>
      <c r="D58" s="119"/>
      <c r="E58" s="77" t="s">
        <v>54</v>
      </c>
      <c r="J58" s="4"/>
    </row>
    <row r="59" spans="1:25" ht="20.399999999999999" customHeight="1">
      <c r="A59" s="82" t="s">
        <v>17</v>
      </c>
      <c r="B59" s="83"/>
      <c r="C59" s="121">
        <f>SUM(L30+Y30)</f>
        <v>1721.875</v>
      </c>
      <c r="D59" s="119"/>
      <c r="E59" s="77" t="s">
        <v>57</v>
      </c>
      <c r="J59" s="4"/>
    </row>
    <row r="60" spans="1:25" ht="20.399999999999999" customHeight="1">
      <c r="A60" s="82" t="s">
        <v>58</v>
      </c>
      <c r="B60" s="83"/>
      <c r="C60" s="121">
        <f>SUM(I30+V30)</f>
        <v>600</v>
      </c>
      <c r="D60" s="119"/>
      <c r="E60" s="77" t="s">
        <v>57</v>
      </c>
      <c r="J60" s="4"/>
    </row>
    <row r="61" spans="1:25" ht="20.399999999999999" customHeight="1">
      <c r="A61" s="82" t="s">
        <v>20</v>
      </c>
      <c r="B61" s="83"/>
      <c r="C61" s="121">
        <f>SUM(J30+W30)</f>
        <v>1000</v>
      </c>
      <c r="D61" s="119"/>
      <c r="E61" s="77" t="s">
        <v>57</v>
      </c>
      <c r="J61" s="1"/>
    </row>
    <row r="62" spans="1:25" ht="20.399999999999999" customHeight="1">
      <c r="A62" s="82" t="s">
        <v>59</v>
      </c>
      <c r="B62" s="83"/>
      <c r="C62" s="121">
        <f>SUM(H30+U30)</f>
        <v>121.875</v>
      </c>
      <c r="D62" s="119"/>
      <c r="E62" s="77" t="s">
        <v>57</v>
      </c>
      <c r="J62" s="1"/>
    </row>
    <row r="63" spans="1:25" ht="20.399999999999999" customHeight="1">
      <c r="A63" s="82" t="s">
        <v>60</v>
      </c>
      <c r="B63" s="83"/>
      <c r="C63" s="121">
        <f>SUM(L49+Y49)</f>
        <v>2</v>
      </c>
      <c r="D63" s="119"/>
      <c r="E63" s="77" t="s">
        <v>61</v>
      </c>
      <c r="J63" s="1"/>
    </row>
    <row r="64" spans="1:25" ht="20.399999999999999" customHeight="1">
      <c r="A64" s="82" t="s">
        <v>62</v>
      </c>
      <c r="B64" s="83"/>
      <c r="C64" s="121">
        <v>500</v>
      </c>
      <c r="D64" s="119"/>
      <c r="E64" s="77" t="s">
        <v>63</v>
      </c>
      <c r="J64" s="1"/>
    </row>
    <row r="65" spans="1:11" ht="20.399999999999999" customHeight="1">
      <c r="A65" s="82" t="s">
        <v>64</v>
      </c>
      <c r="B65" s="83"/>
      <c r="C65" s="122">
        <f>1000*1</f>
        <v>1000</v>
      </c>
      <c r="D65" s="123"/>
      <c r="E65" s="77" t="s">
        <v>65</v>
      </c>
      <c r="J65" s="1"/>
    </row>
    <row r="66" spans="1:11" ht="20.399999999999999" customHeight="1">
      <c r="A66" s="82" t="s">
        <v>39</v>
      </c>
      <c r="B66" s="83"/>
      <c r="C66" s="124">
        <f>SUM(L41+Y41)</f>
        <v>572</v>
      </c>
      <c r="D66" s="125"/>
      <c r="E66" s="77" t="s">
        <v>66</v>
      </c>
      <c r="J66" s="1"/>
    </row>
    <row r="67" spans="1:11" ht="20.399999999999999" customHeight="1">
      <c r="A67" s="82" t="s">
        <v>40</v>
      </c>
      <c r="B67" s="83"/>
      <c r="C67" s="124">
        <f>SUM(L42+Y42)</f>
        <v>48</v>
      </c>
      <c r="D67" s="125"/>
      <c r="E67" s="77" t="s">
        <v>66</v>
      </c>
      <c r="J67" s="1"/>
    </row>
    <row r="68" spans="1:11" ht="20.399999999999999" customHeight="1">
      <c r="A68" s="82" t="s">
        <v>41</v>
      </c>
      <c r="B68" s="83"/>
      <c r="C68" s="124">
        <f>SUM(L43+Y43)</f>
        <v>51</v>
      </c>
      <c r="D68" s="125"/>
      <c r="E68" s="77" t="s">
        <v>54</v>
      </c>
      <c r="J68" s="1"/>
    </row>
    <row r="69" spans="1:11" ht="20.399999999999999" customHeight="1">
      <c r="A69" s="82" t="s">
        <v>42</v>
      </c>
      <c r="B69" s="83"/>
      <c r="C69" s="124">
        <f>SUM(L44+Y44)</f>
        <v>50</v>
      </c>
      <c r="D69" s="125"/>
      <c r="E69" s="77" t="s">
        <v>66</v>
      </c>
      <c r="J69" s="1"/>
    </row>
    <row r="70" spans="1:11" ht="20.399999999999999" customHeight="1">
      <c r="A70" s="82" t="s">
        <v>67</v>
      </c>
      <c r="B70" s="83"/>
      <c r="C70" s="126">
        <f>SUM(C59:C69)</f>
        <v>5666.75</v>
      </c>
      <c r="D70" s="117"/>
      <c r="E70" s="77" t="s">
        <v>54</v>
      </c>
      <c r="J70" s="1"/>
    </row>
    <row r="71" spans="1:11" ht="20.399999999999999" customHeight="1">
      <c r="A71" s="82" t="s">
        <v>68</v>
      </c>
      <c r="B71" s="83"/>
      <c r="C71" s="127">
        <f>C70*3%</f>
        <v>170.0025</v>
      </c>
      <c r="D71" s="119"/>
      <c r="E71" s="77" t="s">
        <v>54</v>
      </c>
      <c r="J71" s="1"/>
    </row>
    <row r="72" spans="1:11" ht="20.399999999999999" customHeight="1">
      <c r="A72" s="82" t="s">
        <v>69</v>
      </c>
      <c r="B72" s="83"/>
      <c r="C72" s="127">
        <f>C70*50%</f>
        <v>2833.375</v>
      </c>
      <c r="D72" s="119"/>
      <c r="E72" s="77" t="s">
        <v>54</v>
      </c>
      <c r="J72" s="1"/>
    </row>
    <row r="73" spans="1:11" ht="20.399999999999999" customHeight="1">
      <c r="A73" s="82" t="s">
        <v>70</v>
      </c>
      <c r="B73" s="83"/>
      <c r="C73" s="127">
        <f>C58*5%</f>
        <v>1500</v>
      </c>
      <c r="D73" s="119"/>
      <c r="E73" s="77" t="s">
        <v>57</v>
      </c>
      <c r="J73" s="1"/>
    </row>
    <row r="74" spans="1:11" ht="20.399999999999999" customHeight="1">
      <c r="A74" s="82" t="s">
        <v>71</v>
      </c>
      <c r="B74" s="83"/>
      <c r="C74" s="108"/>
      <c r="D74" s="119"/>
      <c r="E74" s="77" t="s">
        <v>54</v>
      </c>
      <c r="J74" s="1"/>
    </row>
    <row r="75" spans="1:11" ht="20.399999999999999" customHeight="1">
      <c r="A75" s="82" t="s">
        <v>72</v>
      </c>
      <c r="B75" s="83"/>
      <c r="C75" s="128">
        <f>SUM(C71:C74)</f>
        <v>4503.3775000000005</v>
      </c>
      <c r="D75" s="119"/>
      <c r="E75" s="77" t="s">
        <v>57</v>
      </c>
      <c r="J75" s="1"/>
    </row>
    <row r="76" spans="1:11" ht="20.399999999999999" customHeight="1">
      <c r="A76" s="82" t="s">
        <v>73</v>
      </c>
      <c r="B76" s="83"/>
      <c r="C76" s="129">
        <f>C70+C75</f>
        <v>10170.127500000001</v>
      </c>
      <c r="D76" s="119"/>
      <c r="E76" s="7">
        <f>SUM(C76/C58)</f>
        <v>0.33900425000000001</v>
      </c>
      <c r="F76" s="82" t="s">
        <v>74</v>
      </c>
      <c r="G76" s="100"/>
      <c r="H76" s="101"/>
      <c r="J76" s="1"/>
    </row>
    <row r="77" spans="1:11" ht="20.399999999999999" customHeight="1">
      <c r="A77" s="82" t="s">
        <v>75</v>
      </c>
      <c r="B77" s="83"/>
      <c r="C77" s="129">
        <f>C58-C76</f>
        <v>19829.872499999998</v>
      </c>
      <c r="D77" s="119"/>
      <c r="E77" s="113">
        <f>SUM(C77/C76)</f>
        <v>1.9498155259115479</v>
      </c>
      <c r="F77" s="102"/>
      <c r="G77" s="103"/>
      <c r="H77" s="104"/>
      <c r="J77" s="1"/>
    </row>
    <row r="78" spans="1:11" ht="17.399999999999999" customHeight="1">
      <c r="J78" s="5"/>
    </row>
    <row r="79" spans="1:11" ht="17.399999999999999" customHeight="1">
      <c r="A79" s="141" t="s">
        <v>76</v>
      </c>
      <c r="B79" s="142" t="s">
        <v>77</v>
      </c>
      <c r="C79" s="142"/>
      <c r="D79" s="142"/>
      <c r="J79" s="5"/>
    </row>
  </sheetData>
  <autoFilter ref="A7:L30" xr:uid="{00000000-0009-0000-0000-000001000000}"/>
  <mergeCells count="93">
    <mergeCell ref="O13:P13"/>
    <mergeCell ref="B79:D79"/>
    <mergeCell ref="C8:C12"/>
    <mergeCell ref="C14:C18"/>
    <mergeCell ref="C20:C24"/>
    <mergeCell ref="P8:P12"/>
    <mergeCell ref="P14:P18"/>
    <mergeCell ref="P20:P24"/>
    <mergeCell ref="B25:C25"/>
    <mergeCell ref="O25:P25"/>
    <mergeCell ref="A77:B77"/>
    <mergeCell ref="W44:X44"/>
    <mergeCell ref="C77:D77"/>
    <mergeCell ref="C68:D68"/>
    <mergeCell ref="O19:P19"/>
    <mergeCell ref="C58:D58"/>
    <mergeCell ref="A69:B69"/>
    <mergeCell ref="W45:X45"/>
    <mergeCell ref="O30:P30"/>
    <mergeCell ref="J39:L40"/>
    <mergeCell ref="A65:B65"/>
    <mergeCell ref="C65:D65"/>
    <mergeCell ref="A75:B75"/>
    <mergeCell ref="C75:D75"/>
    <mergeCell ref="W47:X47"/>
    <mergeCell ref="C59:D59"/>
    <mergeCell ref="N3:Y6"/>
    <mergeCell ref="J46:K46"/>
    <mergeCell ref="A54:E55"/>
    <mergeCell ref="A63:B63"/>
    <mergeCell ref="C57:D57"/>
    <mergeCell ref="J51:K51"/>
    <mergeCell ref="J48:K48"/>
    <mergeCell ref="A57:B57"/>
    <mergeCell ref="B19:C19"/>
    <mergeCell ref="C61:D61"/>
    <mergeCell ref="A3:L6"/>
    <mergeCell ref="B30:C30"/>
    <mergeCell ref="J50:K50"/>
    <mergeCell ref="J42:K42"/>
    <mergeCell ref="J44:K44"/>
    <mergeCell ref="W49:X49"/>
    <mergeCell ref="N8:N12"/>
    <mergeCell ref="C69:D69"/>
    <mergeCell ref="N14:N18"/>
    <mergeCell ref="A59:B59"/>
    <mergeCell ref="A20:A24"/>
    <mergeCell ref="A61:B61"/>
    <mergeCell ref="J49:K49"/>
    <mergeCell ref="C60:D60"/>
    <mergeCell ref="C66:D66"/>
    <mergeCell ref="A67:B67"/>
    <mergeCell ref="A60:B60"/>
    <mergeCell ref="A8:A12"/>
    <mergeCell ref="A14:A18"/>
    <mergeCell ref="A66:B66"/>
    <mergeCell ref="J41:K41"/>
    <mergeCell ref="J47:K47"/>
    <mergeCell ref="B13:C13"/>
    <mergeCell ref="W43:X43"/>
    <mergeCell ref="A76:B76"/>
    <mergeCell ref="N20:N24"/>
    <mergeCell ref="C76:D76"/>
    <mergeCell ref="W42:X42"/>
    <mergeCell ref="A62:B62"/>
    <mergeCell ref="C67:D67"/>
    <mergeCell ref="A68:B68"/>
    <mergeCell ref="W51:X51"/>
    <mergeCell ref="W41:X41"/>
    <mergeCell ref="A71:B71"/>
    <mergeCell ref="C71:D71"/>
    <mergeCell ref="F76:H77"/>
    <mergeCell ref="C70:D70"/>
    <mergeCell ref="C74:D74"/>
    <mergeCell ref="A74:B74"/>
    <mergeCell ref="W50:X50"/>
    <mergeCell ref="A56:B56"/>
    <mergeCell ref="J45:K45"/>
    <mergeCell ref="C56:D56"/>
    <mergeCell ref="W46:X46"/>
    <mergeCell ref="W48:X48"/>
    <mergeCell ref="A72:B72"/>
    <mergeCell ref="C72:D72"/>
    <mergeCell ref="A58:B58"/>
    <mergeCell ref="C62:D62"/>
    <mergeCell ref="A64:B64"/>
    <mergeCell ref="A73:B73"/>
    <mergeCell ref="W39:Y40"/>
    <mergeCell ref="A70:B70"/>
    <mergeCell ref="C64:D64"/>
    <mergeCell ref="C73:D73"/>
    <mergeCell ref="C63:D63"/>
    <mergeCell ref="J43:K43"/>
  </mergeCells>
  <pageMargins left="0.25" right="0.25" top="0.4" bottom="0.4" header="0.3" footer="0.3"/>
  <pageSetup fitToHeight="0"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H27"/>
  <sheetViews>
    <sheetView showGridLines="0" zoomScale="90" workbookViewId="0">
      <pane xSplit="1" ySplit="7" topLeftCell="B8" activePane="bottomRight" state="frozen"/>
      <selection pane="topRight"/>
      <selection pane="bottomLeft"/>
      <selection pane="bottomRight" activeCell="E23" sqref="E23"/>
    </sheetView>
  </sheetViews>
  <sheetFormatPr defaultRowHeight="15.6"/>
  <cols>
    <col min="1" max="1" width="3" customWidth="1"/>
    <col min="2" max="2" width="11.296875" customWidth="1"/>
    <col min="3" max="3" width="26" customWidth="1"/>
    <col min="4" max="4" width="12" customWidth="1"/>
    <col min="5" max="6" width="14" customWidth="1"/>
    <col min="7" max="7" width="16" customWidth="1"/>
    <col min="8" max="8" width="14" bestFit="1" customWidth="1"/>
  </cols>
  <sheetData>
    <row r="3" spans="2:8">
      <c r="B3" s="114" t="s">
        <v>87</v>
      </c>
      <c r="C3" s="115">
        <f>SUM('Actual '!C77:D77)</f>
        <v>19829.872499999998</v>
      </c>
    </row>
    <row r="6" spans="2:8" ht="28.05" customHeight="1">
      <c r="B6" s="109" t="s">
        <v>78</v>
      </c>
      <c r="C6" s="109"/>
      <c r="D6" s="109"/>
      <c r="E6" s="109"/>
      <c r="F6" s="109"/>
      <c r="G6" s="109"/>
      <c r="H6" s="109"/>
    </row>
    <row r="7" spans="2:8" ht="30" customHeight="1">
      <c r="B7" s="14" t="s">
        <v>79</v>
      </c>
      <c r="C7" s="133" t="s">
        <v>80</v>
      </c>
      <c r="D7" s="133" t="s">
        <v>81</v>
      </c>
      <c r="E7" s="14" t="s">
        <v>82</v>
      </c>
      <c r="F7" s="133" t="s">
        <v>83</v>
      </c>
      <c r="G7" s="14" t="s">
        <v>84</v>
      </c>
      <c r="H7" s="14" t="s">
        <v>85</v>
      </c>
    </row>
    <row r="8" spans="2:8" ht="22.05" customHeight="1">
      <c r="B8" s="134">
        <v>1</v>
      </c>
      <c r="C8" s="78"/>
      <c r="D8" s="79"/>
      <c r="E8" s="21"/>
      <c r="F8" s="80"/>
      <c r="G8" s="80">
        <v>15000</v>
      </c>
      <c r="H8" s="81">
        <f>SUM(G8*5%)</f>
        <v>750</v>
      </c>
    </row>
    <row r="9" spans="2:8" ht="22.05" customHeight="1">
      <c r="B9" s="134">
        <v>2</v>
      </c>
      <c r="C9" s="78"/>
      <c r="D9" s="79"/>
      <c r="E9" s="21"/>
      <c r="F9" s="80"/>
      <c r="G9" s="80"/>
      <c r="H9" s="81">
        <f t="shared" ref="H9:H14" si="0">SUM(G9*5%)</f>
        <v>0</v>
      </c>
    </row>
    <row r="10" spans="2:8" ht="22.05" customHeight="1">
      <c r="B10" s="134">
        <v>3</v>
      </c>
      <c r="C10" s="78"/>
      <c r="D10" s="79"/>
      <c r="E10" s="21"/>
      <c r="F10" s="80"/>
      <c r="G10" s="80"/>
      <c r="H10" s="81">
        <f t="shared" si="0"/>
        <v>0</v>
      </c>
    </row>
    <row r="11" spans="2:8" ht="22.05" customHeight="1">
      <c r="B11" s="134">
        <v>4</v>
      </c>
      <c r="C11" s="78"/>
      <c r="D11" s="79"/>
      <c r="E11" s="21"/>
      <c r="F11" s="80"/>
      <c r="G11" s="80"/>
      <c r="H11" s="81">
        <f t="shared" si="0"/>
        <v>0</v>
      </c>
    </row>
    <row r="12" spans="2:8" ht="22.05" customHeight="1">
      <c r="B12" s="134">
        <v>5</v>
      </c>
      <c r="C12" s="78"/>
      <c r="D12" s="79"/>
      <c r="E12" s="21"/>
      <c r="F12" s="80"/>
      <c r="G12" s="80"/>
      <c r="H12" s="81">
        <f t="shared" si="0"/>
        <v>0</v>
      </c>
    </row>
    <row r="13" spans="2:8" ht="22.05" customHeight="1">
      <c r="B13" s="134">
        <v>6</v>
      </c>
      <c r="C13" s="78"/>
      <c r="D13" s="79"/>
      <c r="E13" s="21"/>
      <c r="F13" s="80"/>
      <c r="G13" s="80"/>
      <c r="H13" s="81">
        <f t="shared" si="0"/>
        <v>0</v>
      </c>
    </row>
    <row r="14" spans="2:8" ht="22.05" customHeight="1">
      <c r="B14" s="134">
        <v>7</v>
      </c>
      <c r="C14" s="78"/>
      <c r="D14" s="79"/>
      <c r="E14" s="21"/>
      <c r="F14" s="80"/>
      <c r="G14" s="80"/>
      <c r="H14" s="81">
        <f t="shared" si="0"/>
        <v>0</v>
      </c>
    </row>
    <row r="15" spans="2:8" ht="19.8">
      <c r="B15" s="136" t="s">
        <v>91</v>
      </c>
      <c r="C15" s="137"/>
      <c r="D15" s="135">
        <f>SUM(D8:D14)</f>
        <v>0</v>
      </c>
      <c r="E15" s="135">
        <f>SUM(E8:E14)</f>
        <v>0</v>
      </c>
      <c r="F15" s="138">
        <f>SUM(F8:F14)</f>
        <v>0</v>
      </c>
      <c r="G15" s="138">
        <f>SUM(G8:G14)</f>
        <v>15000</v>
      </c>
      <c r="H15" s="138">
        <f>SUM(H8:H14)</f>
        <v>750</v>
      </c>
    </row>
    <row r="16" spans="2:8">
      <c r="B16" s="139" t="s">
        <v>97</v>
      </c>
      <c r="C16" s="139"/>
      <c r="D16" s="139"/>
      <c r="E16" s="139"/>
    </row>
    <row r="17" spans="2:5">
      <c r="B17" s="140"/>
      <c r="C17" s="140"/>
      <c r="D17" s="140"/>
      <c r="E17" s="140"/>
    </row>
    <row r="24" spans="2:5">
      <c r="B24" s="114" t="s">
        <v>92</v>
      </c>
      <c r="C24" s="114" t="s">
        <v>93</v>
      </c>
    </row>
    <row r="25" spans="2:5">
      <c r="B25" s="114"/>
      <c r="C25" s="114" t="s">
        <v>94</v>
      </c>
    </row>
    <row r="26" spans="2:5">
      <c r="B26" s="114"/>
      <c r="C26" s="114" t="s">
        <v>95</v>
      </c>
    </row>
    <row r="27" spans="2:5">
      <c r="B27" s="114"/>
      <c r="C27" s="114" t="s">
        <v>96</v>
      </c>
    </row>
  </sheetData>
  <autoFilter ref="B7:H14" xr:uid="{00000000-0009-0000-0000-000002000000}"/>
  <mergeCells count="3">
    <mergeCell ref="B16:E17"/>
    <mergeCell ref="B6:H6"/>
    <mergeCell ref="B15:C15"/>
  </mergeCells>
  <pageMargins left="0.25" right="0.25" top="0.4" bottom="0.4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Category. </vt:lpstr>
      <vt:lpstr>Actual </vt:lpstr>
      <vt:lpstr>Billing_commission </vt:lpstr>
      <vt:lpstr>'Actual '!Print_Area</vt:lpstr>
      <vt:lpstr>'Billing_commission '!Print_Area</vt:lpstr>
      <vt:lpstr>'Category. '!Print_Area</vt:lpstr>
      <vt:lpstr>'Actual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Sahasak Thanathorn</dc:creator>
  <cp:lastModifiedBy>s-thanathorn office</cp:lastModifiedBy>
  <dcterms:created xsi:type="dcterms:W3CDTF">2026-08-28T06:33:00Z</dcterms:created>
  <dcterms:modified xsi:type="dcterms:W3CDTF">2026-10-03T14:19:51Z</dcterms:modified>
</cp:coreProperties>
</file>